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EF67BF5E-91E4-4696-AE8F-840C6F2B8A7D}" xr6:coauthVersionLast="47" xr6:coauthVersionMax="47" xr10:uidLastSave="{00000000-0000-0000-0000-000000000000}"/>
  <bookViews>
    <workbookView xWindow="-120" yWindow="-120" windowWidth="24240" windowHeight="13140" activeTab="1" xr2:uid="{00000000-000D-0000-FFFF-FFFF00000000}"/>
  </bookViews>
  <sheets>
    <sheet name="مشرفي بنوك الدم " sheetId="1" r:id="rId1"/>
    <sheet name="الجاهزية"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ltQTr44L43c1T6ihtUSrLcS0D17Ozmp4bE8Ixmqt++g="/>
    </ext>
  </extLst>
</workbook>
</file>

<file path=xl/calcChain.xml><?xml version="1.0" encoding="utf-8"?>
<calcChain xmlns="http://schemas.openxmlformats.org/spreadsheetml/2006/main">
  <c r="K292" i="2" l="1"/>
  <c r="K285" i="2"/>
  <c r="K277" i="2"/>
  <c r="K272" i="2"/>
  <c r="K265" i="2"/>
  <c r="K256" i="2"/>
  <c r="K250" i="2"/>
  <c r="K237" i="2"/>
  <c r="K231" i="2"/>
  <c r="K226" i="2"/>
  <c r="K221" i="2"/>
  <c r="K215" i="2"/>
  <c r="K210" i="2"/>
  <c r="K202" i="2"/>
  <c r="K191" i="2"/>
  <c r="K186" i="2"/>
  <c r="K177" i="2"/>
  <c r="K164" i="2"/>
  <c r="K151" i="2"/>
  <c r="K144" i="2"/>
  <c r="K124" i="2"/>
  <c r="K118" i="2"/>
  <c r="K103" i="2"/>
  <c r="K96" i="2"/>
  <c r="D92" i="2"/>
  <c r="K87" i="2"/>
  <c r="K79" i="2"/>
  <c r="K64" i="2"/>
  <c r="K53" i="2"/>
  <c r="K44" i="2"/>
  <c r="K39" i="2"/>
  <c r="K31" i="2"/>
  <c r="K20" i="2"/>
  <c r="K8" i="2"/>
  <c r="H36" i="1"/>
  <c r="F35" i="1"/>
  <c r="H2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5" authorId="0" shapeId="0" xr:uid="{00000000-0006-0000-0000-000001000000}">
      <text>
        <r>
          <rPr>
            <sz val="10"/>
            <color rgb="FF000000"/>
            <rFont val="Arial"/>
            <scheme val="minor"/>
          </rPr>
          <t>======
ID#AAAB_C_s_hI
    (2026-07-03 02:06:40)
01227030457</t>
        </r>
      </text>
    </comment>
  </commentList>
  <extLst>
    <ext xmlns:r="http://schemas.openxmlformats.org/officeDocument/2006/relationships" uri="GoogleSheetsCustomDataVersion2">
      <go:sheetsCustomData xmlns:go="http://customooxmlschemas.google.com/" r:id="rId1" roundtripDataSignature="AMtx7mg+lggz1hewFMOduEBhml+b3VRNgA=="/>
    </ext>
  </extLst>
</comments>
</file>

<file path=xl/sharedStrings.xml><?xml version="1.0" encoding="utf-8"?>
<sst xmlns="http://schemas.openxmlformats.org/spreadsheetml/2006/main" count="1137" uniqueCount="492">
  <si>
    <t xml:space="preserve">مشرفي بنوك الدم </t>
  </si>
  <si>
    <t xml:space="preserve">المكان </t>
  </si>
  <si>
    <t>المسئول</t>
  </si>
  <si>
    <t xml:space="preserve">رقم التواصل </t>
  </si>
  <si>
    <t>بنك الدم</t>
  </si>
  <si>
    <t xml:space="preserve">المسئول </t>
  </si>
  <si>
    <t>2nd oncall</t>
  </si>
  <si>
    <t xml:space="preserve">الهيئة </t>
  </si>
  <si>
    <t xml:space="preserve">إنچى فريد سعد راشد </t>
  </si>
  <si>
    <t xml:space="preserve">مشرف بنوك الدم بالهيئة </t>
  </si>
  <si>
    <t xml:space="preserve">بورسعيد </t>
  </si>
  <si>
    <t>أماني محمود محمد عبد الوهاب</t>
  </si>
  <si>
    <r>
      <rPr>
        <b/>
        <sz val="19"/>
        <color theme="1"/>
        <rFont val="Cairo,Arial"/>
      </rPr>
      <t>التضامن (مجمع الشفاء)</t>
    </r>
    <r>
      <rPr>
        <b/>
        <sz val="19"/>
        <color rgb="FFFF0000"/>
        <rFont val="Cairo,Arial"/>
      </rPr>
      <t>*</t>
    </r>
  </si>
  <si>
    <t>د.سمر محمد السيد عبد العزيز</t>
  </si>
  <si>
    <t xml:space="preserve">د .أمل فوزي الباز </t>
  </si>
  <si>
    <r>
      <rPr>
        <b/>
        <sz val="19"/>
        <color theme="1"/>
        <rFont val="Cairo,Arial"/>
      </rPr>
      <t xml:space="preserve">النصر </t>
    </r>
    <r>
      <rPr>
        <b/>
        <sz val="19"/>
        <color rgb="FFFF0000"/>
        <rFont val="Cairo,Arial"/>
      </rPr>
      <t>*</t>
    </r>
  </si>
  <si>
    <t xml:space="preserve">د. أمل محمد ابراهيم </t>
  </si>
  <si>
    <t>د/ندى طارق نصر الدين</t>
  </si>
  <si>
    <r>
      <rPr>
        <b/>
        <sz val="19"/>
        <color theme="1"/>
        <rFont val="Cairo,Arial"/>
      </rPr>
      <t>الحياة بورفؤاد</t>
    </r>
    <r>
      <rPr>
        <b/>
        <sz val="19"/>
        <color rgb="FFFF0000"/>
        <rFont val="Cairo,Arial"/>
      </rPr>
      <t xml:space="preserve"> *</t>
    </r>
  </si>
  <si>
    <t>د. مني عزالدين سعود</t>
  </si>
  <si>
    <t xml:space="preserve">د. هبه فتحي سلمي </t>
  </si>
  <si>
    <t>الزهور</t>
  </si>
  <si>
    <t>٣٠ يونيو</t>
  </si>
  <si>
    <t>د .حسام الدين علي برعي خليل</t>
  </si>
  <si>
    <t>السيد قناوي السيد حسين</t>
  </si>
  <si>
    <t xml:space="preserve">السلام </t>
  </si>
  <si>
    <t>د.شيرين عبد الفتاح  محمد الشاعر</t>
  </si>
  <si>
    <t>ك. ايمان هانى الحديدى</t>
  </si>
  <si>
    <t>الإسماعلية</t>
  </si>
  <si>
    <t>شيماءعلي حسن خليل</t>
  </si>
  <si>
    <r>
      <rPr>
        <b/>
        <sz val="19"/>
        <color theme="1"/>
        <rFont val="Cairo,Arial"/>
      </rPr>
      <t xml:space="preserve">المجمع الطبي </t>
    </r>
    <r>
      <rPr>
        <b/>
        <sz val="19"/>
        <color rgb="FFFF0000"/>
        <rFont val="Cairo,Arial"/>
      </rPr>
      <t>*</t>
    </r>
  </si>
  <si>
    <t xml:space="preserve">د هيثم عمرو </t>
  </si>
  <si>
    <t xml:space="preserve">د رامي فؤاد </t>
  </si>
  <si>
    <t>طوارئ ابو خليفه</t>
  </si>
  <si>
    <t xml:space="preserve">د. تميم ابراهيم الدسوقي </t>
  </si>
  <si>
    <t>محمد  عبد المنعم حسن</t>
  </si>
  <si>
    <t xml:space="preserve">مركز 30 يونيو </t>
  </si>
  <si>
    <t xml:space="preserve">د / منى محمد حسانين </t>
  </si>
  <si>
    <t>محمد السيد عبد الرازق</t>
  </si>
  <si>
    <t>فايد التخصصي</t>
  </si>
  <si>
    <t xml:space="preserve">  د/مني فرج محمد سلامة</t>
  </si>
  <si>
    <t xml:space="preserve">د/اسراء جمعه رزق </t>
  </si>
  <si>
    <t xml:space="preserve">القصاصين التخصصي </t>
  </si>
  <si>
    <t xml:space="preserve">د/مصطفى احمد عبده </t>
  </si>
  <si>
    <t>احمد عبدالرحمن محمد</t>
  </si>
  <si>
    <t xml:space="preserve">القنطرة غرب التخصصي </t>
  </si>
  <si>
    <t xml:space="preserve">د اسماء بدر السيد </t>
  </si>
  <si>
    <t>هبة منتصر محمد عطوان</t>
  </si>
  <si>
    <t xml:space="preserve">التل الكبير التخصصي </t>
  </si>
  <si>
    <t>د.شيرين مصطفي</t>
  </si>
  <si>
    <t xml:space="preserve">ضياء الهادي </t>
  </si>
  <si>
    <t xml:space="preserve">السويس </t>
  </si>
  <si>
    <t xml:space="preserve">د/وائل محمد أحمد الشرقاوي </t>
  </si>
  <si>
    <r>
      <rPr>
        <b/>
        <sz val="19"/>
        <color theme="1"/>
        <rFont val="Cairo,Arial"/>
      </rPr>
      <t xml:space="preserve">مجمع السويس الطبي </t>
    </r>
    <r>
      <rPr>
        <b/>
        <sz val="19"/>
        <color rgb="FFFF0000"/>
        <rFont val="Cairo,Arial"/>
      </rPr>
      <t>*</t>
    </r>
  </si>
  <si>
    <t>د/وائل محمد احمد الشرقاوي</t>
  </si>
  <si>
    <t xml:space="preserve">د/ريم غريب حسن رفاعي </t>
  </si>
  <si>
    <t xml:space="preserve">دار صحة المرأة والطفل </t>
  </si>
  <si>
    <t>د.عمرو عبدالحميد القرشي</t>
  </si>
  <si>
    <t xml:space="preserve">رحمه هشام هاشم نصر </t>
  </si>
  <si>
    <t xml:space="preserve">الأقصر </t>
  </si>
  <si>
    <t>د/شيرين وهبه حنين هارون</t>
  </si>
  <si>
    <r>
      <rPr>
        <b/>
        <sz val="19"/>
        <color theme="1"/>
        <rFont val="Cairo,Arial"/>
      </rPr>
      <t xml:space="preserve">طيبة التخصصي </t>
    </r>
    <r>
      <rPr>
        <b/>
        <sz val="19"/>
        <color rgb="FFFF0000"/>
        <rFont val="Cairo,Arial"/>
      </rPr>
      <t>*</t>
    </r>
  </si>
  <si>
    <t xml:space="preserve">عائشة محمد نور الدين محمد </t>
  </si>
  <si>
    <t>احمد محمد علي محمد</t>
  </si>
  <si>
    <t>المجمع الطبي الاقصر</t>
  </si>
  <si>
    <t>احمد مقبول احمد مقبول</t>
  </si>
  <si>
    <t>احمد جابر عوض</t>
  </si>
  <si>
    <t>ايزيس التخصصي</t>
  </si>
  <si>
    <t xml:space="preserve"> شريهان نصرالدين مصطفى محمد </t>
  </si>
  <si>
    <t xml:space="preserve">محمد الريقي عبد العال محمود </t>
  </si>
  <si>
    <t xml:space="preserve">الاطفال التخصصي </t>
  </si>
  <si>
    <t xml:space="preserve">د محمد محمد رمزي حافظ </t>
  </si>
  <si>
    <t xml:space="preserve">محمد علواني احمد محمد </t>
  </si>
  <si>
    <r>
      <rPr>
        <b/>
        <sz val="19"/>
        <color theme="1"/>
        <rFont val="Cairo,Arial"/>
      </rPr>
      <t xml:space="preserve">الكرنك الدولي </t>
    </r>
    <r>
      <rPr>
        <b/>
        <sz val="19"/>
        <color rgb="FFFF0000"/>
        <rFont val="Cairo,Arial"/>
      </rPr>
      <t>*</t>
    </r>
  </si>
  <si>
    <t>د.ندا محمد شحاته سالم</t>
  </si>
  <si>
    <t>علاء عبد الفراج عطيت الله حسانين</t>
  </si>
  <si>
    <t>حورس</t>
  </si>
  <si>
    <t>باهر بطرس ميخائيل</t>
  </si>
  <si>
    <t>احمد يوسف أحمد اسماعيل</t>
  </si>
  <si>
    <t xml:space="preserve">جنوب سيناء </t>
  </si>
  <si>
    <t>ا/ احمد سعيد عبد الحميد البلاط</t>
  </si>
  <si>
    <r>
      <rPr>
        <b/>
        <sz val="19"/>
        <color theme="1"/>
        <rFont val="Cairo,Arial"/>
      </rPr>
      <t xml:space="preserve">راس سدر </t>
    </r>
    <r>
      <rPr>
        <b/>
        <sz val="19"/>
        <color rgb="FFFF0000"/>
        <rFont val="Cairo,Arial"/>
      </rPr>
      <t>*</t>
    </r>
  </si>
  <si>
    <t>ربيع علي عبداللاه محمد</t>
  </si>
  <si>
    <t>د. شيماء حسن إبراهيم عبدالعال</t>
  </si>
  <si>
    <t xml:space="preserve">شرم الشيخ الدولي </t>
  </si>
  <si>
    <t>د/ هدى محمد عبد المنعم</t>
  </si>
  <si>
    <t>د / داليا ابراهيم ابوالفضل</t>
  </si>
  <si>
    <t>طابا</t>
  </si>
  <si>
    <t>هشام احمد عبدالحميد المرسي</t>
  </si>
  <si>
    <t>اسامه احمد احمد</t>
  </si>
  <si>
    <t>سانت كاترين</t>
  </si>
  <si>
    <t>د/مروان محمد جوده</t>
  </si>
  <si>
    <t xml:space="preserve">محمد انيس عبدالله </t>
  </si>
  <si>
    <r>
      <rPr>
        <b/>
        <sz val="19"/>
        <color theme="1"/>
        <rFont val="Cairo,Arial"/>
      </rPr>
      <t xml:space="preserve">مجمع الفيروز </t>
    </r>
    <r>
      <rPr>
        <b/>
        <sz val="19"/>
        <color rgb="FFFF0000"/>
        <rFont val="Cairo,Arial"/>
      </rPr>
      <t>*</t>
    </r>
  </si>
  <si>
    <t>د/محمد عبدالعزيز</t>
  </si>
  <si>
    <t>محمود احمد عوض</t>
  </si>
  <si>
    <t>أسوان</t>
  </si>
  <si>
    <t xml:space="preserve">فاطمة سيد عبد المنعم عبد النبي </t>
  </si>
  <si>
    <r>
      <rPr>
        <b/>
        <sz val="19"/>
        <color theme="1"/>
        <rFont val="Cairo,Arial"/>
      </rPr>
      <t>النيل التخصصي</t>
    </r>
    <r>
      <rPr>
        <b/>
        <sz val="19"/>
        <color rgb="FFFF0000"/>
        <rFont val="Cairo,Arial"/>
      </rPr>
      <t>*</t>
    </r>
    <r>
      <rPr>
        <b/>
        <sz val="19"/>
        <color theme="1"/>
        <rFont val="Cairo,Arial"/>
      </rPr>
      <t>(حورس ادفو)</t>
    </r>
  </si>
  <si>
    <t xml:space="preserve">د.هبه فوزي </t>
  </si>
  <si>
    <t>عبد الله محمد حسنين</t>
  </si>
  <si>
    <t>اسوان التخصصي(الصداقه)</t>
  </si>
  <si>
    <t xml:space="preserve">د.ابتسام صفوت ماهر قرشي </t>
  </si>
  <si>
    <t>محمد حسن</t>
  </si>
  <si>
    <r>
      <rPr>
        <b/>
        <sz val="19"/>
        <color theme="1"/>
        <rFont val="Cairo,Arial"/>
      </rPr>
      <t xml:space="preserve">كوم امبو </t>
    </r>
    <r>
      <rPr>
        <b/>
        <sz val="19"/>
        <color rgb="FFFF0000"/>
        <rFont val="Cairo,Arial"/>
      </rPr>
      <t>*</t>
    </r>
  </si>
  <si>
    <t xml:space="preserve">د.فاطمة الشهيد محمد </t>
  </si>
  <si>
    <t>اسماعيل ابراهيم علي عقل</t>
  </si>
  <si>
    <t>دراو</t>
  </si>
  <si>
    <t>د.مروه محمد امين</t>
  </si>
  <si>
    <t xml:space="preserve">محمود احمد عطا على </t>
  </si>
  <si>
    <t>معهد الاورام</t>
  </si>
  <si>
    <t xml:space="preserve">د.هدي سلطان شرقاوي </t>
  </si>
  <si>
    <t>فيروز محمود محمد</t>
  </si>
  <si>
    <t xml:space="preserve">مستشفي المسله التخصصي </t>
  </si>
  <si>
    <t xml:space="preserve">د.عبير شنوده </t>
  </si>
  <si>
    <t>هيثم عاطف فتحي حسن</t>
  </si>
  <si>
    <t xml:space="preserve">مستشفي السباعيه </t>
  </si>
  <si>
    <t xml:space="preserve">صفاء عبده </t>
  </si>
  <si>
    <t xml:space="preserve">احمد حمدي </t>
  </si>
  <si>
    <t>ابوسمبل الدولي</t>
  </si>
  <si>
    <t xml:space="preserve">احمد صالح </t>
  </si>
  <si>
    <t>السيد الحسيني محمد</t>
  </si>
  <si>
    <t xml:space="preserve">المحافظة </t>
  </si>
  <si>
    <t>اسم بنك الدم</t>
  </si>
  <si>
    <t>جاهزية بنوك الدم لأجازة عيد الأضحى المبارك</t>
  </si>
  <si>
    <t>القوة البشريه المتواجده فعليا</t>
  </si>
  <si>
    <t>الرصيد</t>
  </si>
  <si>
    <t xml:space="preserve">الاجهزه الطبية </t>
  </si>
  <si>
    <t>المستهلكات</t>
  </si>
  <si>
    <t>الاستعاضة لكل بنك</t>
  </si>
  <si>
    <t>ملاحظات مدير بنك الدم</t>
  </si>
  <si>
    <t>تعليق مشرف الفرع</t>
  </si>
  <si>
    <t>تعليق مشرف الهيئة</t>
  </si>
  <si>
    <t xml:space="preserve">الاسم </t>
  </si>
  <si>
    <t>رقم التليفون</t>
  </si>
  <si>
    <t>الثلاثاء 30-06-2026</t>
  </si>
  <si>
    <t>الاربعاء 01-07-2026</t>
  </si>
  <si>
    <t>الخميس 02-07-2026</t>
  </si>
  <si>
    <t>الجمعة 03-07-2026</t>
  </si>
  <si>
    <t>السبت 04-07-2026</t>
  </si>
  <si>
    <t>عجز</t>
  </si>
  <si>
    <t>مراجعة الصيانة</t>
  </si>
  <si>
    <t xml:space="preserve">الاعطال </t>
  </si>
  <si>
    <t>بورســــــــــعــــــــــيــــــــــــــــــــــــــــــــــــد</t>
  </si>
  <si>
    <t>التضامن (مجمع الشفاء)</t>
  </si>
  <si>
    <t xml:space="preserve">د أشرف عمار </t>
  </si>
  <si>
    <t>L</t>
  </si>
  <si>
    <t>لا يوجد</t>
  </si>
  <si>
    <t>كافي</t>
  </si>
  <si>
    <t>تم</t>
  </si>
  <si>
    <t>كافية</t>
  </si>
  <si>
    <t>الاقلبمي</t>
  </si>
  <si>
    <t>د. أمل فوزي</t>
  </si>
  <si>
    <t>M</t>
  </si>
  <si>
    <t>حميد الدعدع</t>
  </si>
  <si>
    <t xml:space="preserve">غادة التميمي </t>
  </si>
  <si>
    <t xml:space="preserve">ناريمان جمعة </t>
  </si>
  <si>
    <t>A</t>
  </si>
  <si>
    <t>مريم محسن</t>
  </si>
  <si>
    <t>زياد الفخراني</t>
  </si>
  <si>
    <t>N</t>
  </si>
  <si>
    <t>فاطمة الجوهري</t>
  </si>
  <si>
    <t>النصر</t>
  </si>
  <si>
    <t xml:space="preserve">د/ امل محمد ابراهيم </t>
  </si>
  <si>
    <t xml:space="preserve">من 8 ص ال 3 م </t>
  </si>
  <si>
    <t xml:space="preserve"> يوجد</t>
  </si>
  <si>
    <t xml:space="preserve">تتم الاستعاضة في حالة نقص بعض الفصائل من بنوك الدم التجمعية للفرع ثم بنك دم الإقليمي </t>
  </si>
  <si>
    <t xml:space="preserve">د/ندي طارق محمد نصر </t>
  </si>
  <si>
    <t>من 8 ص الي 8 م</t>
  </si>
  <si>
    <t xml:space="preserve">من 8ص الي 2 م </t>
  </si>
  <si>
    <t xml:space="preserve">شريف محمد مقلد </t>
  </si>
  <si>
    <t xml:space="preserve">من 8 م الي 8 ص </t>
  </si>
  <si>
    <t>من 8 م الي 8 ص</t>
  </si>
  <si>
    <t xml:space="preserve">بسمه علي محمود </t>
  </si>
  <si>
    <t xml:space="preserve">مي خالد علي محمود </t>
  </si>
  <si>
    <t xml:space="preserve">جورج كارميل صموئيل متي </t>
  </si>
  <si>
    <t xml:space="preserve">محمد السيد الحسانين محمد </t>
  </si>
  <si>
    <t xml:space="preserve">خالد فريد عبد الحافظ </t>
  </si>
  <si>
    <t xml:space="preserve">الحياة بورفؤاد </t>
  </si>
  <si>
    <t xml:space="preserve">سماح عيد معوض </t>
  </si>
  <si>
    <t>سلام محمد عبد العزىز</t>
  </si>
  <si>
    <t>اسماء علاء الخضرى</t>
  </si>
  <si>
    <t xml:space="preserve">محمود كامل فرحات </t>
  </si>
  <si>
    <t xml:space="preserve">د/ أيناس حسني الدسوقى </t>
  </si>
  <si>
    <t>E</t>
  </si>
  <si>
    <t>12A</t>
  </si>
  <si>
    <t xml:space="preserve">بنك الدم الإقليمي وبنوك دم الهيئة العامة بورسعيد </t>
  </si>
  <si>
    <t xml:space="preserve">ف/هاني رشاد الغريب </t>
  </si>
  <si>
    <t>12P</t>
  </si>
  <si>
    <t xml:space="preserve">ف/محمد سعيد عبد الجليل </t>
  </si>
  <si>
    <t xml:space="preserve">ك/مرفت عباس محمد شحاته </t>
  </si>
  <si>
    <t>E&amp;12P</t>
  </si>
  <si>
    <t xml:space="preserve">ف/محمد أبو بكر السيد </t>
  </si>
  <si>
    <t>د حسام الدين علي برعي خليل</t>
  </si>
  <si>
    <t>بنوك دم الهيئه وبنك دم الاقليمي ببورسعيد</t>
  </si>
  <si>
    <t>12A12P</t>
  </si>
  <si>
    <t>السيد فهمي محمد مطاوع</t>
  </si>
  <si>
    <t>وائل عبد الجليل عبد الرحمن</t>
  </si>
  <si>
    <t>احمد عبد المعطي حسن خطاب</t>
  </si>
  <si>
    <t>السلام</t>
  </si>
  <si>
    <t xml:space="preserve">د.شيرين عبد الفتاح </t>
  </si>
  <si>
    <t>8am:2pm</t>
  </si>
  <si>
    <t>8am:8pm</t>
  </si>
  <si>
    <t>8am-2pm</t>
  </si>
  <si>
    <t>الاقليمي وبنوك دم هيئه الرعايه</t>
  </si>
  <si>
    <t>د.رشا فاروق مبروك</t>
  </si>
  <si>
    <t>ك.ايمان هانى الحديدى</t>
  </si>
  <si>
    <t>8am:10pm</t>
  </si>
  <si>
    <t>ك..دينا محمد الشريف</t>
  </si>
  <si>
    <t>ك.مى عبد الخالق الكاشف</t>
  </si>
  <si>
    <t>8pm-8am</t>
  </si>
  <si>
    <t>ك.سمر مصطفى السيد</t>
  </si>
  <si>
    <t>2pm:8pm&amp;8pm:8am</t>
  </si>
  <si>
    <t>2pm:8pm</t>
  </si>
  <si>
    <t xml:space="preserve">ك.دنيا عادل فاروق </t>
  </si>
  <si>
    <t>8pm:8am</t>
  </si>
  <si>
    <t>ف.رمزى حسب النبى</t>
  </si>
  <si>
    <t>2pm:2am</t>
  </si>
  <si>
    <t>الاســـــــــــــــمــــــــــاعيــــــــليــــــة</t>
  </si>
  <si>
    <t>المجمع الطبي</t>
  </si>
  <si>
    <t>ف.خالد مصطفى</t>
  </si>
  <si>
    <t>8am-8pm</t>
  </si>
  <si>
    <t>ف.احمد راضي حسن</t>
  </si>
  <si>
    <t>ايناس ناصر الحسيني</t>
  </si>
  <si>
    <t>محمود حسن عنتر</t>
  </si>
  <si>
    <t>p12</t>
  </si>
  <si>
    <t xml:space="preserve">محمود عبد العزيز </t>
  </si>
  <si>
    <t>سارة حسين حسن</t>
  </si>
  <si>
    <t>A12</t>
  </si>
  <si>
    <t xml:space="preserve">نجلاء علم الدين </t>
  </si>
  <si>
    <t>7A7D</t>
  </si>
  <si>
    <t>A7D7</t>
  </si>
  <si>
    <t>د.رامي محمد فؤاد</t>
  </si>
  <si>
    <t>12p</t>
  </si>
  <si>
    <t xml:space="preserve">محمد عبدالمنعم حسن </t>
  </si>
  <si>
    <t>12 P</t>
  </si>
  <si>
    <t>12 A</t>
  </si>
  <si>
    <t xml:space="preserve">تتم الاستعاضة في حالة نقص بعض الفصائل من بنوك دم التخزينية للفرع ثم بنك دم المجمع ثم بنك دم الإقليمي ثم الافرع المجاورة </t>
  </si>
  <si>
    <t>في حالة نقص بعض الفصائل يتم الاستعاضة بالفصائل الاخري</t>
  </si>
  <si>
    <t xml:space="preserve">محمد الامين السيد </t>
  </si>
  <si>
    <t>24 AP</t>
  </si>
  <si>
    <t xml:space="preserve">محمد محمد مسعد </t>
  </si>
  <si>
    <t xml:space="preserve">ايه عدلو عبدالحميد </t>
  </si>
  <si>
    <t>22A</t>
  </si>
  <si>
    <t xml:space="preserve">مركز ٣٠ يونيو  </t>
  </si>
  <si>
    <t xml:space="preserve">محمد السيد عبد الرازق </t>
  </si>
  <si>
    <t>6-A</t>
  </si>
  <si>
    <t>12-p</t>
  </si>
  <si>
    <t xml:space="preserve">احمد رضوان علي </t>
  </si>
  <si>
    <t>0100 6653901</t>
  </si>
  <si>
    <t>12- p</t>
  </si>
  <si>
    <t>6-D /12-p</t>
  </si>
  <si>
    <t>شحاته فرحات عبد المقصود</t>
  </si>
  <si>
    <t>0102 5373878</t>
  </si>
  <si>
    <t>12-A</t>
  </si>
  <si>
    <t xml:space="preserve">A+6.  A- 1 .B +7 . B - 1. O +15 . O neg 0 . AB pos 2 </t>
  </si>
  <si>
    <t>سامي احمد ايوب</t>
  </si>
  <si>
    <t>6-D</t>
  </si>
  <si>
    <t>6-D/12-p</t>
  </si>
  <si>
    <t xml:space="preserve">عبدالعزيز بدير عبدالعزيز </t>
  </si>
  <si>
    <t>6A</t>
  </si>
  <si>
    <t xml:space="preserve">يتم الاستعانة بالمجمع و الإقليمي وبنوك تخزيني الهيئه </t>
  </si>
  <si>
    <t xml:space="preserve">صالح سالم سالم </t>
  </si>
  <si>
    <t xml:space="preserve">د.اسراء جمعه رزق </t>
  </si>
  <si>
    <t>6A12p</t>
  </si>
  <si>
    <t>روماني صليب اسحاق</t>
  </si>
  <si>
    <t xml:space="preserve">رشا غريب </t>
  </si>
  <si>
    <t>فاديه سليمان احمد</t>
  </si>
  <si>
    <t>ساميه عبد العزيز محمود</t>
  </si>
  <si>
    <t>نجلاء فتحي زكى</t>
  </si>
  <si>
    <t>احمد عبد الرحمن محمد</t>
  </si>
  <si>
    <t xml:space="preserve">القنطرة غرب التخصص </t>
  </si>
  <si>
    <t xml:space="preserve">منى عبد الحميد علي </t>
  </si>
  <si>
    <t>12Ap</t>
  </si>
  <si>
    <t xml:space="preserve">12Ap </t>
  </si>
  <si>
    <t>الاستعانه عن طريق بنوك الدم التخزينيه والمجمع الطبي</t>
  </si>
  <si>
    <t xml:space="preserve">هبه منتصر  محمد </t>
  </si>
  <si>
    <t>احمد صالح طريفى</t>
  </si>
  <si>
    <t xml:space="preserve">12Am </t>
  </si>
  <si>
    <t xml:space="preserve">محمود جمال رجب </t>
  </si>
  <si>
    <t xml:space="preserve">نهى سليمان  محمد </t>
  </si>
  <si>
    <t xml:space="preserve">القنطره شرق التخصصي </t>
  </si>
  <si>
    <t>سامح محمد رفعت</t>
  </si>
  <si>
    <t>يوجد</t>
  </si>
  <si>
    <t xml:space="preserve">تتم الاستعاضة في حالة نقص بعض الفصائل من بنوك دم التخزينية للفرع ثم بنك دم المجمع ثم بنك دم الإقليمي ثم الافرع المجاورة 
</t>
  </si>
  <si>
    <t>ميلاد ملاك</t>
  </si>
  <si>
    <t>جهاز لحام الاكياس</t>
  </si>
  <si>
    <t>ابراهيم يسري</t>
  </si>
  <si>
    <t>محمد حسيني</t>
  </si>
  <si>
    <t>اعتماد صابر</t>
  </si>
  <si>
    <t>محمود ايهاب</t>
  </si>
  <si>
    <t>السويس</t>
  </si>
  <si>
    <t xml:space="preserve">مجمع السويس الطبي </t>
  </si>
  <si>
    <t>د.أميرة عبد العزيز أحمد يونس</t>
  </si>
  <si>
    <t xml:space="preserve">المركز الإقليمى لخدمات نقل الدم </t>
  </si>
  <si>
    <t xml:space="preserve">د. نهى صيام السيد أحمد </t>
  </si>
  <si>
    <t xml:space="preserve">د. اسراء ابراهيم عيد علوان </t>
  </si>
  <si>
    <t xml:space="preserve"> A+28,A-3,B+15,B-1,O+25,O-2,AB+12,AB-1</t>
  </si>
  <si>
    <t xml:space="preserve">ك. شيماء عوض جادالرب أحمد </t>
  </si>
  <si>
    <t xml:space="preserve">ك. أميرة محمد الشحات محمد </t>
  </si>
  <si>
    <t xml:space="preserve">ك. علا السيد عبد الحميد على </t>
  </si>
  <si>
    <t xml:space="preserve">ك. أحمد ابراهيم عبده ابراهيم </t>
  </si>
  <si>
    <t>6D-6P</t>
  </si>
  <si>
    <t xml:space="preserve">ك. نسمة سمير محمد على </t>
  </si>
  <si>
    <t xml:space="preserve">ك. ايه ابراهيم السيد سرور </t>
  </si>
  <si>
    <t xml:space="preserve">ك. ايه عبد الحميد حسين عبد الحميد </t>
  </si>
  <si>
    <t xml:space="preserve">ك. زينب محمد رفاعى حسن </t>
  </si>
  <si>
    <t>ك. أحمد سعد حسن محمود</t>
  </si>
  <si>
    <t xml:space="preserve">ك. انجى أشرف جودة عبد السلام </t>
  </si>
  <si>
    <t xml:space="preserve">ك. رحمة غريب موسى مسلم </t>
  </si>
  <si>
    <t xml:space="preserve">دار صحة المرأه والطفل </t>
  </si>
  <si>
    <t>موسي مصطفى ابوالحمد</t>
  </si>
  <si>
    <t>مجمع السويس الطبي</t>
  </si>
  <si>
    <t>رحمه هشام هاشم</t>
  </si>
  <si>
    <t>مصطفى محمد مصطفي</t>
  </si>
  <si>
    <t>محمد عبده طاحون</t>
  </si>
  <si>
    <t>عبدالله مصطفي محمود</t>
  </si>
  <si>
    <t>011 53164078</t>
  </si>
  <si>
    <t>Long 12 hr</t>
  </si>
  <si>
    <t xml:space="preserve">المركز الإقليمي لخدمات نقل الدم بالأقصر </t>
  </si>
  <si>
    <t>زكريا عبد الجابر علي</t>
  </si>
  <si>
    <t xml:space="preserve">بنوك الدم التجميعية بالمحافظة </t>
  </si>
  <si>
    <t>شيماء صالح محمد</t>
  </si>
  <si>
    <t>Night 12 hr</t>
  </si>
  <si>
    <t>ممدوح عبد الرحيم محمد عمر</t>
  </si>
  <si>
    <t>عبدالله محسوب على الصادق</t>
  </si>
  <si>
    <t>احمد جابر عوض احمد</t>
  </si>
  <si>
    <t>Morning 7 hr</t>
  </si>
  <si>
    <t>مريم لطفي داوود</t>
  </si>
  <si>
    <t xml:space="preserve">هشام علي محمود </t>
  </si>
  <si>
    <t>طيبه التخصصي</t>
  </si>
  <si>
    <t>د عائشه محمد نور الدين</t>
  </si>
  <si>
    <t>حازم سيد عباس</t>
  </si>
  <si>
    <t>احمد محمد علي</t>
  </si>
  <si>
    <t>ايمان عيسي احمد</t>
  </si>
  <si>
    <t>اسماء رمضان زيدان</t>
  </si>
  <si>
    <t>احمد عبدالفتاح رمضان</t>
  </si>
  <si>
    <t>هاني فراج عبدالجليل</t>
  </si>
  <si>
    <t>بنك الدم الاقليمي بالاقصر</t>
  </si>
  <si>
    <t>محمد العربي احمد زكي</t>
  </si>
  <si>
    <t>احمد ناصر فرغلي</t>
  </si>
  <si>
    <t>عبد العليم سعيد محمد</t>
  </si>
  <si>
    <t>محمد مرسي ابو العباس</t>
  </si>
  <si>
    <t>محمد تقادم عباس</t>
  </si>
  <si>
    <t xml:space="preserve">شريهان نصرالدين مصطفى </t>
  </si>
  <si>
    <t>كافيه</t>
  </si>
  <si>
    <t xml:space="preserve">محمود محمد ابراهيم عبد السميع </t>
  </si>
  <si>
    <t xml:space="preserve">عمر الصادق أحمد </t>
  </si>
  <si>
    <t xml:space="preserve">المركز الإقليمي </t>
  </si>
  <si>
    <t>حنان محمد يوسف</t>
  </si>
  <si>
    <t>بنوك الدم التجميعية</t>
  </si>
  <si>
    <t xml:space="preserve">صابر عبد العاطي الصغير </t>
  </si>
  <si>
    <t xml:space="preserve">مروان عبد العزيز السعدي </t>
  </si>
  <si>
    <t>نورهان نبيل عبد الغني</t>
  </si>
  <si>
    <t xml:space="preserve">نجاح عبدالهادى محمد الصغير </t>
  </si>
  <si>
    <t>بنك دم مستشفي الكرنك</t>
  </si>
  <si>
    <t xml:space="preserve">لا يوجد ملاحظات </t>
  </si>
  <si>
    <t xml:space="preserve">محمد علوانى احمد عبدالله </t>
  </si>
  <si>
    <t xml:space="preserve">بنك دم مستشفي طيبه </t>
  </si>
  <si>
    <t>محمد ابراهيم محمد</t>
  </si>
  <si>
    <t xml:space="preserve">المركز الاقليمي </t>
  </si>
  <si>
    <t>محمود عبد المنعم محمود</t>
  </si>
  <si>
    <t>علاء الدين بدوي احمد</t>
  </si>
  <si>
    <t>طارق احمد مصطفي باشا</t>
  </si>
  <si>
    <t>الكرنك الدولي</t>
  </si>
  <si>
    <t xml:space="preserve">علاء عبد الفراج عطيت الله </t>
  </si>
  <si>
    <t xml:space="preserve">الإقليمي </t>
  </si>
  <si>
    <t>احمد محمد حسن رشدي</t>
  </si>
  <si>
    <t>السيد ابو الحسن السايح</t>
  </si>
  <si>
    <t>عبد الجليل رمضان احمد</t>
  </si>
  <si>
    <t xml:space="preserve">محمد جابر مكي </t>
  </si>
  <si>
    <t>رنا عبد الرحيم</t>
  </si>
  <si>
    <t>يوسف محمد عبد الواحد</t>
  </si>
  <si>
    <t xml:space="preserve">اسماء عبد العزيز </t>
  </si>
  <si>
    <t xml:space="preserve">فاطمة محمد </t>
  </si>
  <si>
    <t xml:space="preserve">احمد يوسف احمد إسماعيل </t>
  </si>
  <si>
    <t>بنك الدم الاقليمي ومستشفيات الهيئة (الكرنك-طيبة-ايزيس-العديسات)</t>
  </si>
  <si>
    <t>احمد عطا محمد حسن</t>
  </si>
  <si>
    <t xml:space="preserve">احمد النوبي عوض النوبي </t>
  </si>
  <si>
    <t>محمد عبدالرحيم فوزي</t>
  </si>
  <si>
    <t>محمد عبدالستار محمد جاد</t>
  </si>
  <si>
    <t>اسماعيل محمد السايح احمد</t>
  </si>
  <si>
    <t>محمد التهامي الدردير</t>
  </si>
  <si>
    <t xml:space="preserve">مهند حسان ابراهيم احمد </t>
  </si>
  <si>
    <t>جنوب سيناء</t>
  </si>
  <si>
    <t xml:space="preserve">راس سدر </t>
  </si>
  <si>
    <t>بنك الدم الإقليمي وبنوك دم الهيئة</t>
  </si>
  <si>
    <t xml:space="preserve">شيماء حسن إبراهيم عبد العال </t>
  </si>
  <si>
    <t xml:space="preserve">ربيع علي عبداللاه </t>
  </si>
  <si>
    <t xml:space="preserve"> 010 25029336</t>
  </si>
  <si>
    <t>8ص-8م</t>
  </si>
  <si>
    <t xml:space="preserve">عبدالله محمد عبد السلام </t>
  </si>
  <si>
    <t>010 15454158</t>
  </si>
  <si>
    <t>كريم محمد</t>
  </si>
  <si>
    <t>0 11 43184890</t>
  </si>
  <si>
    <t>8م-8ص</t>
  </si>
  <si>
    <t>شرم الشيخ الدولي</t>
  </si>
  <si>
    <t>د/هدي محمد عبد المنعم</t>
  </si>
  <si>
    <t>8م-2م</t>
  </si>
  <si>
    <t>بنك الدم ا+لإقليمي وبنوك دم الهيئة</t>
  </si>
  <si>
    <t>إيمان محمود محمد درويش</t>
  </si>
  <si>
    <t>أيمن محمد رجب قالوش</t>
  </si>
  <si>
    <t>عبد الرحمن السيد التهامي</t>
  </si>
  <si>
    <t>محمد وجيه مختار</t>
  </si>
  <si>
    <t>أحمد محمد منشاوى دراز</t>
  </si>
  <si>
    <t>هشام احمد عبد الحميد</t>
  </si>
  <si>
    <t>8م- 8ص</t>
  </si>
  <si>
    <t>سانت كات</t>
  </si>
  <si>
    <t>بكر احمد احمد ذكي</t>
  </si>
  <si>
    <t xml:space="preserve">بنك الدم الإقليمي وبنوك دم الهيئة </t>
  </si>
  <si>
    <t>طارق عطيه الشستاوي</t>
  </si>
  <si>
    <t>محمد انيس عبدلله</t>
  </si>
  <si>
    <t>رمضان عابدين ابو الحسن</t>
  </si>
  <si>
    <t>السيد  عبدالغفار سليمان</t>
  </si>
  <si>
    <t>مجمع الفي</t>
  </si>
  <si>
    <t xml:space="preserve">ندي عبد الناصر عبد العزيز </t>
  </si>
  <si>
    <t xml:space="preserve">بنوك الدم التابعه للهيئة+ بنك الدم الإقليمى بشرم الشيخ </t>
  </si>
  <si>
    <t xml:space="preserve">حسام محمد عبد الرحمن </t>
  </si>
  <si>
    <t xml:space="preserve">محمد احمد السيد </t>
  </si>
  <si>
    <t>8ص:8م</t>
  </si>
  <si>
    <t xml:space="preserve">بسمه احمد عبد الحميد </t>
  </si>
  <si>
    <t xml:space="preserve">علاء سعيد على </t>
  </si>
  <si>
    <t>8م:8ص</t>
  </si>
  <si>
    <t xml:space="preserve">محمود احمد عوض </t>
  </si>
  <si>
    <t>اســــــوان</t>
  </si>
  <si>
    <t>النيل التخصصي</t>
  </si>
  <si>
    <t>احمد محمد حسين بصري</t>
  </si>
  <si>
    <t>اقليمي اسوان</t>
  </si>
  <si>
    <t>امير عبد الرحيم محمد</t>
  </si>
  <si>
    <t>عبد اللاه حماد جادو</t>
  </si>
  <si>
    <t>مصطفى عبد العزيز</t>
  </si>
  <si>
    <t>مصطفى فراج</t>
  </si>
  <si>
    <t>محمود محي الدين</t>
  </si>
  <si>
    <t>ابراهيم حسن صالح</t>
  </si>
  <si>
    <t>D</t>
  </si>
  <si>
    <t>ممدوح عبد الرؤوف</t>
  </si>
  <si>
    <t>احمد ابو الحجاج النابي</t>
  </si>
  <si>
    <t>حسين عبده قناوي</t>
  </si>
  <si>
    <t>عبد الرحمن كمال الدين</t>
  </si>
  <si>
    <t>احمد بدوي احمد</t>
  </si>
  <si>
    <t xml:space="preserve">محمود حسيب </t>
  </si>
  <si>
    <t>اسوان التخصصي</t>
  </si>
  <si>
    <t>هبة حيدر خميس</t>
  </si>
  <si>
    <t>بنك الدم الاقليمى</t>
  </si>
  <si>
    <t>جابر محمود محمد</t>
  </si>
  <si>
    <t>احمد جابر</t>
  </si>
  <si>
    <t>محمد صدقى</t>
  </si>
  <si>
    <t>محمد حسن محمد</t>
  </si>
  <si>
    <t xml:space="preserve">صلاح السيد </t>
  </si>
  <si>
    <t>كوم امبو</t>
  </si>
  <si>
    <t>سارة مغربي على</t>
  </si>
  <si>
    <t>مستشفي النيل / بنك الدم الاقليمي</t>
  </si>
  <si>
    <t>علاء محمد صالح</t>
  </si>
  <si>
    <t>صادق يونس صادق</t>
  </si>
  <si>
    <t>مصطفي ابو الحسن احمد</t>
  </si>
  <si>
    <t>الحسن مصطفي عبدالله</t>
  </si>
  <si>
    <t>مينا ياور فليبس</t>
  </si>
  <si>
    <t>وليد عبدالفتاح حسين</t>
  </si>
  <si>
    <t>ايمن عبدالحافظ احمد</t>
  </si>
  <si>
    <t xml:space="preserve">احمد عبدالحميد عبدالله </t>
  </si>
  <si>
    <t xml:space="preserve">محمود احمد عطا </t>
  </si>
  <si>
    <t>تجميعى هيئه،،اقليمى اسوان</t>
  </si>
  <si>
    <t>فاطمه سليمان عباس</t>
  </si>
  <si>
    <t xml:space="preserve">عبدالكريم عبدالرحمن كريم </t>
  </si>
  <si>
    <t xml:space="preserve">ابانوب صابر عطاالله </t>
  </si>
  <si>
    <t xml:space="preserve">طارق محمد عبد الراضي </t>
  </si>
  <si>
    <t xml:space="preserve">ليديا جون ابراهيم </t>
  </si>
  <si>
    <t xml:space="preserve">محمد خالد محمود </t>
  </si>
  <si>
    <t xml:space="preserve">معهد الاورام </t>
  </si>
  <si>
    <t>احمد عمر عبد الستار ابودوح</t>
  </si>
  <si>
    <t>اروى محمد سلامة عبدالله</t>
  </si>
  <si>
    <t>اسراء زكريا عبد العظيم على</t>
  </si>
  <si>
    <t xml:space="preserve">مستشفى المسله التخصصي </t>
  </si>
  <si>
    <t xml:space="preserve">هيثم عاطف فتحى </t>
  </si>
  <si>
    <t xml:space="preserve">مرنا أشرف فايق </t>
  </si>
  <si>
    <t xml:space="preserve">شريف عبد الباسط  احمد </t>
  </si>
  <si>
    <t>زينب محمود ابوالوفا</t>
  </si>
  <si>
    <t xml:space="preserve">محمود نادى محمد </t>
  </si>
  <si>
    <t xml:space="preserve">مستشفى السباعية </t>
  </si>
  <si>
    <t>صفاء عبده عيسى حسن</t>
  </si>
  <si>
    <t xml:space="preserve">بنك مستشفى النيل والبنك الإقليمي بأسوان </t>
  </si>
  <si>
    <t xml:space="preserve">محمد عبدالجليل محمد </t>
  </si>
  <si>
    <t xml:space="preserve">أحمد محمد الهادي السيد </t>
  </si>
  <si>
    <t xml:space="preserve">أحمد حمدي محمدالعدوي </t>
  </si>
  <si>
    <t xml:space="preserve">علي محمد أحمد حسين </t>
  </si>
  <si>
    <t xml:space="preserve">الشيماء عبدالقادر عبدالماجد </t>
  </si>
  <si>
    <r>
      <rPr>
        <b/>
        <sz val="13"/>
        <color theme="1"/>
        <rFont val="Arial"/>
      </rPr>
      <t>آية خميس محمد السيد</t>
    </r>
    <r>
      <rPr>
        <sz val="11"/>
        <color theme="1"/>
        <rFont val="Arial"/>
      </rPr>
      <t xml:space="preserve"> </t>
    </r>
  </si>
  <si>
    <t xml:space="preserve">احمد صالح احمد اسماعيل </t>
  </si>
  <si>
    <t xml:space="preserve">بنك الدم الاقليمي </t>
  </si>
  <si>
    <t xml:space="preserve">السيد الحسيني محمد </t>
  </si>
  <si>
    <t xml:space="preserve">محمد شاذلي حسن </t>
  </si>
  <si>
    <t xml:space="preserve">مصطفى محمد عبدالرحيم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</si>
</sst>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hh\ \-mm\ A/P"/>
    <numFmt numFmtId="166" formatCode="d\ mmmm"/>
  </numFmts>
  <fonts count="34">
    <font>
      <sz val="10"/>
      <color rgb="FF000000"/>
      <name val="Arial"/>
      <scheme val="minor"/>
    </font>
    <font>
      <b/>
      <sz val="25"/>
      <color rgb="FFFF0000"/>
      <name val="Arial"/>
    </font>
    <font>
      <sz val="10"/>
      <name val="Arial"/>
    </font>
    <font>
      <b/>
      <sz val="23"/>
      <color rgb="FFFFFFFF"/>
      <name val="Pacifico"/>
    </font>
    <font>
      <b/>
      <sz val="25"/>
      <color rgb="FFFFFFFF"/>
      <name val="Pacifico"/>
    </font>
    <font>
      <b/>
      <sz val="16"/>
      <color rgb="FFFFFFFF"/>
      <name val="Pacifico"/>
    </font>
    <font>
      <b/>
      <sz val="24"/>
      <color rgb="FFFFFFFF"/>
      <name val="Pacifico"/>
    </font>
    <font>
      <b/>
      <sz val="19"/>
      <color theme="1"/>
      <name val="Arial"/>
    </font>
    <font>
      <b/>
      <sz val="19"/>
      <color theme="1"/>
      <name val="Cairo"/>
    </font>
    <font>
      <sz val="10"/>
      <color theme="1"/>
      <name val="Arial"/>
    </font>
    <font>
      <sz val="19"/>
      <color theme="1"/>
      <name val="Arial"/>
    </font>
    <font>
      <b/>
      <sz val="18"/>
      <color theme="1"/>
      <name val="Calibri"/>
    </font>
    <font>
      <sz val="16"/>
      <color rgb="FFFFFFFF"/>
      <name val="Arial"/>
    </font>
    <font>
      <sz val="32"/>
      <color rgb="FF000000"/>
      <name val="Aref Ruqaa"/>
    </font>
    <font>
      <sz val="18"/>
      <color rgb="FFFFFFFF"/>
      <name val="Arial"/>
    </font>
    <font>
      <b/>
      <sz val="16"/>
      <color rgb="FFFFFFFF"/>
      <name val="Arial"/>
    </font>
    <font>
      <b/>
      <sz val="14"/>
      <color theme="1"/>
      <name val="Arial"/>
    </font>
    <font>
      <b/>
      <sz val="17"/>
      <color theme="1"/>
      <name val="Cairo"/>
    </font>
    <font>
      <b/>
      <sz val="15"/>
      <color theme="1"/>
      <name val="Cairo"/>
    </font>
    <font>
      <sz val="11"/>
      <color theme="1"/>
      <name val="Arial"/>
    </font>
    <font>
      <b/>
      <sz val="13"/>
      <color theme="1"/>
      <name val="Arial"/>
    </font>
    <font>
      <b/>
      <sz val="12"/>
      <color theme="1"/>
      <name val="Arial"/>
    </font>
    <font>
      <sz val="12"/>
      <color theme="1"/>
      <name val="Arial"/>
    </font>
    <font>
      <b/>
      <sz val="11"/>
      <color theme="1"/>
      <name val="Arial"/>
    </font>
    <font>
      <sz val="14"/>
      <color theme="1"/>
      <name val="Arial"/>
    </font>
    <font>
      <b/>
      <sz val="10"/>
      <color theme="1"/>
      <name val="Arial"/>
    </font>
    <font>
      <sz val="15"/>
      <color theme="1"/>
      <name val="Arial"/>
    </font>
    <font>
      <b/>
      <sz val="18"/>
      <color theme="1"/>
      <name val="Arial"/>
    </font>
    <font>
      <sz val="9"/>
      <color theme="1"/>
      <name val="Arial"/>
    </font>
    <font>
      <sz val="8"/>
      <color theme="1"/>
      <name val="Arial"/>
    </font>
    <font>
      <b/>
      <sz val="18"/>
      <color theme="1"/>
      <name val="Cairo"/>
    </font>
    <font>
      <b/>
      <sz val="14"/>
      <color theme="1"/>
      <name val="Calibri"/>
    </font>
    <font>
      <b/>
      <sz val="19"/>
      <color theme="1"/>
      <name val="Cairo,Arial"/>
    </font>
    <font>
      <b/>
      <sz val="19"/>
      <color rgb="FFFF0000"/>
      <name val="Cairo,Arial"/>
    </font>
  </fonts>
  <fills count="8">
    <fill>
      <patternFill patternType="none"/>
    </fill>
    <fill>
      <patternFill patternType="gray125"/>
    </fill>
    <fill>
      <patternFill patternType="solid">
        <fgColor rgb="FF00FFFF"/>
        <bgColor rgb="FF00FFFF"/>
      </patternFill>
    </fill>
    <fill>
      <patternFill patternType="solid">
        <fgColor rgb="FF000000"/>
        <bgColor rgb="FF000000"/>
      </patternFill>
    </fill>
    <fill>
      <patternFill patternType="solid">
        <fgColor rgb="FFB7B7B7"/>
        <bgColor rgb="FFB7B7B7"/>
      </patternFill>
    </fill>
    <fill>
      <patternFill patternType="solid">
        <fgColor rgb="FFF3F3F3"/>
        <bgColor rgb="FFF3F3F3"/>
      </patternFill>
    </fill>
    <fill>
      <patternFill patternType="solid">
        <fgColor rgb="FF6D9EEB"/>
        <bgColor rgb="FF6D9EEB"/>
      </patternFill>
    </fill>
    <fill>
      <patternFill patternType="solid">
        <fgColor rgb="FFD9D9D9"/>
        <bgColor rgb="FFD9D9D9"/>
      </patternFill>
    </fill>
  </fills>
  <borders count="170">
    <border>
      <left/>
      <right/>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ck">
        <color rgb="FF000000"/>
      </left>
      <right style="thin">
        <color rgb="FF000000"/>
      </right>
      <top/>
      <bottom/>
      <diagonal/>
    </border>
    <border>
      <left style="thin">
        <color rgb="FF000000"/>
      </left>
      <right style="thin">
        <color rgb="FF000000"/>
      </right>
      <top/>
      <bottom/>
      <diagonal/>
    </border>
    <border>
      <left style="thick">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ck">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ck">
        <color rgb="FF000000"/>
      </right>
      <top style="thin">
        <color rgb="FF000000"/>
      </top>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diagonal/>
    </border>
    <border>
      <left style="medium">
        <color rgb="FFFFFFFF"/>
      </left>
      <right/>
      <top/>
      <bottom style="medium">
        <color rgb="FFFFFFFF"/>
      </bottom>
      <diagonal/>
    </border>
    <border>
      <left/>
      <right style="medium">
        <color rgb="FFFFFFFF"/>
      </right>
      <top/>
      <bottom style="medium">
        <color rgb="FFFFFFFF"/>
      </bottom>
      <diagonal/>
    </border>
    <border>
      <left style="medium">
        <color rgb="FF000000"/>
      </left>
      <right style="medium">
        <color rgb="FF000000"/>
      </right>
      <top style="medium">
        <color rgb="FFFFFFFF"/>
      </top>
      <bottom/>
      <diagonal/>
    </border>
    <border>
      <left/>
      <right/>
      <top style="medium">
        <color rgb="FFFFFFFF"/>
      </top>
      <bottom/>
      <diagonal/>
    </border>
    <border>
      <left style="medium">
        <color rgb="FF000000"/>
      </left>
      <right style="medium">
        <color rgb="FF000000"/>
      </right>
      <top/>
      <bottom/>
      <diagonal/>
    </border>
    <border>
      <left/>
      <right/>
      <top/>
      <bottom style="medium">
        <color rgb="FFFFFFFF"/>
      </bottom>
      <diagonal/>
    </border>
    <border>
      <left/>
      <right style="medium">
        <color rgb="FFFFFFFF"/>
      </right>
      <top/>
      <bottom/>
      <diagonal/>
    </border>
    <border>
      <left style="medium">
        <color rgb="FFFFFFFF"/>
      </left>
      <right/>
      <top/>
      <bottom/>
      <diagonal/>
    </border>
    <border>
      <left style="medium">
        <color rgb="FFFFFFFF"/>
      </left>
      <right style="medium">
        <color rgb="FFFFFFFF"/>
      </right>
      <top/>
      <bottom style="medium">
        <color rgb="FFFFFFFF"/>
      </bottom>
      <diagonal/>
    </border>
    <border>
      <left style="medium">
        <color rgb="FF000000"/>
      </left>
      <right style="medium">
        <color rgb="FF000000"/>
      </right>
      <top/>
      <bottom style="medium">
        <color rgb="FFFFFFFF"/>
      </bottom>
      <diagonal/>
    </border>
    <border>
      <left style="medium">
        <color rgb="FF000000"/>
      </left>
      <right style="medium">
        <color rgb="FF000000"/>
      </right>
      <top style="medium">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diagonal/>
    </border>
    <border>
      <left style="medium">
        <color rgb="FF000000"/>
      </left>
      <right/>
      <top style="medium">
        <color rgb="FF3D85C6"/>
      </top>
      <bottom/>
      <diagonal/>
    </border>
    <border>
      <left style="thick">
        <color rgb="FF000000"/>
      </left>
      <right style="thick">
        <color rgb="FF000000"/>
      </right>
      <top style="thick">
        <color rgb="FF000000"/>
      </top>
      <bottom/>
      <diagonal/>
    </border>
    <border>
      <left/>
      <right style="thin">
        <color rgb="FF000000"/>
      </right>
      <top style="thin">
        <color rgb="FF000000"/>
      </top>
      <bottom style="thin">
        <color rgb="FF000000"/>
      </bottom>
      <diagonal/>
    </border>
    <border>
      <left style="medium">
        <color rgb="FF000000"/>
      </left>
      <right/>
      <top/>
      <bottom/>
      <diagonal/>
    </border>
    <border>
      <left style="thick">
        <color rgb="FF000000"/>
      </left>
      <right style="thick">
        <color rgb="FF000000"/>
      </right>
      <top/>
      <bottom/>
      <diagonal/>
    </border>
    <border>
      <left style="medium">
        <color rgb="FF000000"/>
      </left>
      <right style="medium">
        <color rgb="FF000000"/>
      </right>
      <top/>
      <bottom style="medium">
        <color rgb="FF3D85C6"/>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top/>
      <bottom style="medium">
        <color rgb="FF3D85C6"/>
      </bottom>
      <diagonal/>
    </border>
    <border>
      <left style="thick">
        <color rgb="FF000000"/>
      </left>
      <right style="thick">
        <color rgb="FF000000"/>
      </right>
      <top/>
      <bottom style="thin">
        <color rgb="FF000000"/>
      </bottom>
      <diagonal/>
    </border>
    <border>
      <left style="medium">
        <color rgb="FF000000"/>
      </left>
      <right style="medium">
        <color rgb="FF000000"/>
      </right>
      <top style="medium">
        <color rgb="FF3D85C6"/>
      </top>
      <bottom/>
      <diagonal/>
    </border>
    <border>
      <left style="thick">
        <color rgb="FF000000"/>
      </left>
      <right style="thick">
        <color rgb="FF000000"/>
      </right>
      <top style="medium">
        <color rgb="FF3D85C6"/>
      </top>
      <bottom/>
      <diagonal/>
    </border>
    <border>
      <left/>
      <right/>
      <top style="thin">
        <color rgb="FF000000"/>
      </top>
      <bottom style="thin">
        <color rgb="FF000000"/>
      </bottom>
      <diagonal/>
    </border>
    <border>
      <left style="thin">
        <color rgb="FF000000"/>
      </left>
      <right/>
      <top style="thin">
        <color rgb="FF000000"/>
      </top>
      <bottom/>
      <diagonal/>
    </border>
    <border>
      <left style="thick">
        <color rgb="FF000000"/>
      </left>
      <right style="thick">
        <color rgb="FF000000"/>
      </right>
      <top/>
      <bottom style="medium">
        <color rgb="FF3D85C6"/>
      </bottom>
      <diagonal/>
    </border>
    <border>
      <left/>
      <right style="thin">
        <color rgb="FF000000"/>
      </right>
      <top style="thin">
        <color rgb="FF000000"/>
      </top>
      <bottom/>
      <diagonal/>
    </border>
    <border>
      <left style="medium">
        <color rgb="FF000000"/>
      </left>
      <right/>
      <top/>
      <bottom style="thin">
        <color rgb="FF000000"/>
      </bottom>
      <diagonal/>
    </border>
    <border>
      <left/>
      <right style="medium">
        <color rgb="FF000000"/>
      </right>
      <top style="medium">
        <color rgb="FF3D85C6"/>
      </top>
      <bottom/>
      <diagonal/>
    </border>
    <border>
      <left/>
      <right style="thin">
        <color rgb="FF000000"/>
      </right>
      <top style="thin">
        <color rgb="FF000000"/>
      </top>
      <bottom style="medium">
        <color rgb="FF3D85C6"/>
      </bottom>
      <diagonal/>
    </border>
    <border>
      <left style="thin">
        <color rgb="FF000000"/>
      </left>
      <right style="thin">
        <color rgb="FF000000"/>
      </right>
      <top style="thin">
        <color rgb="FF000000"/>
      </top>
      <bottom style="medium">
        <color rgb="FF3D85C6"/>
      </bottom>
      <diagonal/>
    </border>
    <border>
      <left style="thin">
        <color rgb="FF000000"/>
      </left>
      <right/>
      <top style="thin">
        <color rgb="FF000000"/>
      </top>
      <bottom style="medium">
        <color rgb="FF3D85C6"/>
      </bottom>
      <diagonal/>
    </border>
    <border>
      <left/>
      <right style="medium">
        <color rgb="FF000000"/>
      </right>
      <top/>
      <bottom style="medium">
        <color rgb="FF3D85C6"/>
      </bottom>
      <diagonal/>
    </border>
    <border>
      <left/>
      <right/>
      <top style="thin">
        <color rgb="FF000000"/>
      </top>
      <bottom/>
      <diagonal/>
    </border>
    <border>
      <left style="thin">
        <color rgb="FF000000"/>
      </left>
      <right style="thin">
        <color rgb="FF000000"/>
      </right>
      <top style="medium">
        <color rgb="FF3D85C6"/>
      </top>
      <bottom style="thin">
        <color rgb="FF000000"/>
      </bottom>
      <diagonal/>
    </border>
    <border>
      <left style="thin">
        <color rgb="FF000000"/>
      </left>
      <right/>
      <top style="medium">
        <color rgb="FF3D85C6"/>
      </top>
      <bottom style="thin">
        <color rgb="FF000000"/>
      </bottom>
      <diagonal/>
    </border>
    <border>
      <left style="thick">
        <color rgb="FFFF0000"/>
      </left>
      <right/>
      <top/>
      <bottom/>
      <diagonal/>
    </border>
    <border>
      <left/>
      <right style="thin">
        <color rgb="FF505050"/>
      </right>
      <top style="medium">
        <color rgb="FF3D85C6"/>
      </top>
      <bottom style="thin">
        <color rgb="FF000000"/>
      </bottom>
      <diagonal/>
    </border>
    <border>
      <left/>
      <right style="thin">
        <color rgb="FF000000"/>
      </right>
      <top style="medium">
        <color rgb="FF3D85C6"/>
      </top>
      <bottom style="thin">
        <color rgb="FF000000"/>
      </bottom>
      <diagonal/>
    </border>
    <border>
      <left/>
      <right style="thin">
        <color rgb="FF505050"/>
      </right>
      <top style="thin">
        <color rgb="FF000000"/>
      </top>
      <bottom style="thin">
        <color rgb="FF000000"/>
      </bottom>
      <diagonal/>
    </border>
    <border>
      <left/>
      <right style="thin">
        <color rgb="FF505050"/>
      </right>
      <top style="thin">
        <color rgb="FF000000"/>
      </top>
      <bottom style="thick">
        <color rgb="FF6D9EEB"/>
      </bottom>
      <diagonal/>
    </border>
    <border>
      <left style="thin">
        <color rgb="FF000000"/>
      </left>
      <right style="thin">
        <color rgb="FF000000"/>
      </right>
      <top style="thin">
        <color rgb="FF000000"/>
      </top>
      <bottom style="thick">
        <color rgb="FF6D9EEB"/>
      </bottom>
      <diagonal/>
    </border>
    <border>
      <left style="medium">
        <color rgb="FF000000"/>
      </left>
      <right/>
      <top/>
      <bottom style="medium">
        <color rgb="FF3C78D8"/>
      </bottom>
      <diagonal/>
    </border>
    <border>
      <left/>
      <right/>
      <top style="medium">
        <color rgb="FF3D85C6"/>
      </top>
      <bottom style="thin">
        <color rgb="FF000000"/>
      </bottom>
      <diagonal/>
    </border>
    <border>
      <left style="thin">
        <color rgb="FF000000"/>
      </left>
      <right style="thin">
        <color rgb="FF505050"/>
      </right>
      <top style="medium">
        <color rgb="FF3D85C6"/>
      </top>
      <bottom style="thin">
        <color rgb="FF000000"/>
      </bottom>
      <diagonal/>
    </border>
    <border>
      <left/>
      <right/>
      <top style="medium">
        <color rgb="FF3D85C6"/>
      </top>
      <bottom/>
      <diagonal/>
    </border>
    <border>
      <left style="thin">
        <color rgb="FF000000"/>
      </left>
      <right style="thin">
        <color rgb="FF505050"/>
      </right>
      <top style="thin">
        <color rgb="FF000000"/>
      </top>
      <bottom style="thin">
        <color rgb="FF000000"/>
      </bottom>
      <diagonal/>
    </border>
    <border>
      <left/>
      <right/>
      <top style="thin">
        <color rgb="FF000000"/>
      </top>
      <bottom style="medium">
        <color rgb="FF3D85C6"/>
      </bottom>
      <diagonal/>
    </border>
    <border>
      <left style="thin">
        <color rgb="FF000000"/>
      </left>
      <right style="thin">
        <color rgb="FF505050"/>
      </right>
      <top style="thin">
        <color rgb="FF000000"/>
      </top>
      <bottom style="medium">
        <color rgb="FF3D85C6"/>
      </bottom>
      <diagonal/>
    </border>
    <border>
      <left/>
      <right/>
      <top/>
      <bottom style="medium">
        <color rgb="FF3D85C6"/>
      </bottom>
      <diagonal/>
    </border>
    <border>
      <left style="medium">
        <color rgb="FF000000"/>
      </left>
      <right style="medium">
        <color rgb="FF000000"/>
      </right>
      <top/>
      <bottom style="medium">
        <color rgb="FF3C78D8"/>
      </bottom>
      <diagonal/>
    </border>
    <border>
      <left style="thick">
        <color rgb="FF000000"/>
      </left>
      <right style="thick">
        <color rgb="FF000000"/>
      </right>
      <top/>
      <bottom style="medium">
        <color rgb="FF3C78D8"/>
      </bottom>
      <diagonal/>
    </border>
    <border>
      <left/>
      <right style="thin">
        <color rgb="FF000000"/>
      </right>
      <top style="medium">
        <color rgb="FF3C78D8"/>
      </top>
      <bottom style="thin">
        <color rgb="FF000000"/>
      </bottom>
      <diagonal/>
    </border>
    <border>
      <left style="thin">
        <color rgb="FF000000"/>
      </left>
      <right style="thin">
        <color rgb="FF000000"/>
      </right>
      <top style="medium">
        <color rgb="FF3C78D8"/>
      </top>
      <bottom style="thin">
        <color rgb="FF000000"/>
      </bottom>
      <diagonal/>
    </border>
    <border>
      <left style="medium">
        <color rgb="FF000000"/>
      </left>
      <right style="medium">
        <color rgb="FF000000"/>
      </right>
      <top style="medium">
        <color rgb="FF3C78D8"/>
      </top>
      <bottom/>
      <diagonal/>
    </border>
    <border>
      <left style="thick">
        <color rgb="FF000000"/>
      </left>
      <right style="thick">
        <color rgb="FF000000"/>
      </right>
      <top style="medium">
        <color rgb="FF3C78D8"/>
      </top>
      <bottom/>
      <diagonal/>
    </border>
    <border>
      <left style="medium">
        <color rgb="FF000000"/>
      </left>
      <right style="medium">
        <color rgb="FF000000"/>
      </right>
      <top/>
      <bottom style="thick">
        <color rgb="FF000000"/>
      </bottom>
      <diagonal/>
    </border>
    <border>
      <left/>
      <right/>
      <top/>
      <bottom style="thick">
        <color rgb="FF000000"/>
      </bottom>
      <diagonal/>
    </border>
    <border>
      <left style="thick">
        <color rgb="FF000000"/>
      </left>
      <right style="thick">
        <color rgb="FF000000"/>
      </right>
      <top/>
      <bottom style="thick">
        <color rgb="FF000000"/>
      </bottom>
      <diagonal/>
    </border>
    <border>
      <left style="thin">
        <color rgb="FF000000"/>
      </left>
      <right/>
      <top style="medium">
        <color rgb="FF3C78D8"/>
      </top>
      <bottom style="thin">
        <color rgb="FF000000"/>
      </bottom>
      <diagonal/>
    </border>
    <border>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style="medium">
        <color rgb="FF000000"/>
      </left>
      <right/>
      <top style="thin">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FF0000"/>
      </left>
      <right/>
      <top/>
      <bottom style="thick">
        <color rgb="FF000000"/>
      </bottom>
      <diagonal/>
    </border>
    <border>
      <left style="medium">
        <color rgb="FF000000"/>
      </left>
      <right style="medium">
        <color rgb="FF000000"/>
      </right>
      <top style="thin">
        <color rgb="FF000000"/>
      </top>
      <bottom style="thick">
        <color rgb="FF000000"/>
      </bottom>
      <diagonal/>
    </border>
    <border>
      <left style="medium">
        <color rgb="FF000000"/>
      </left>
      <right/>
      <top style="thin">
        <color rgb="FF000000"/>
      </top>
      <bottom style="thick">
        <color rgb="FF000000"/>
      </bottom>
      <diagonal/>
    </border>
    <border>
      <left style="thick">
        <color rgb="FF000000"/>
      </left>
      <right style="thick">
        <color rgb="FF000000"/>
      </right>
      <top style="thin">
        <color rgb="FF000000"/>
      </top>
      <bottom style="thick">
        <color rgb="FF000000"/>
      </bottom>
      <diagonal/>
    </border>
    <border>
      <left/>
      <right style="medium">
        <color rgb="FF000000"/>
      </right>
      <top style="medium">
        <color rgb="FF3C78D8"/>
      </top>
      <bottom/>
      <diagonal/>
    </border>
    <border>
      <left style="thick">
        <color rgb="FF000000"/>
      </left>
      <right/>
      <top/>
      <bottom/>
      <diagonal/>
    </border>
    <border>
      <left/>
      <right style="thick">
        <color rgb="FF000000"/>
      </right>
      <top/>
      <bottom/>
      <diagonal/>
    </border>
    <border>
      <left style="thick">
        <color rgb="FFFF0000"/>
      </left>
      <right/>
      <top/>
      <bottom style="thin">
        <color rgb="FF000000"/>
      </bottom>
      <diagonal/>
    </border>
    <border>
      <left style="thick">
        <color rgb="FF000000"/>
      </left>
      <right/>
      <top/>
      <bottom style="thin">
        <color rgb="FF000000"/>
      </bottom>
      <diagonal/>
    </border>
    <border>
      <left/>
      <right style="thick">
        <color rgb="FF000000"/>
      </right>
      <top/>
      <bottom style="thin">
        <color rgb="FF000000"/>
      </bottom>
      <diagonal/>
    </border>
    <border>
      <left style="medium">
        <color rgb="FF000000"/>
      </left>
      <right/>
      <top style="medium">
        <color rgb="FF3C78D8"/>
      </top>
      <bottom/>
      <diagonal/>
    </border>
    <border>
      <left style="medium">
        <color rgb="FF000000"/>
      </left>
      <right style="medium">
        <color rgb="FF000000"/>
      </right>
      <top style="thin">
        <color rgb="FF000000"/>
      </top>
      <bottom/>
      <diagonal/>
    </border>
    <border>
      <left/>
      <right/>
      <top style="thin">
        <color rgb="FF000000"/>
      </top>
      <bottom style="medium">
        <color rgb="FF3C78D8"/>
      </bottom>
      <diagonal/>
    </border>
    <border>
      <left style="thin">
        <color rgb="FF000000"/>
      </left>
      <right/>
      <top style="thin">
        <color rgb="FF000000"/>
      </top>
      <bottom style="medium">
        <color rgb="FF3C78D8"/>
      </bottom>
      <diagonal/>
    </border>
    <border>
      <left style="medium">
        <color rgb="FF000000"/>
      </left>
      <right/>
      <top style="medium">
        <color rgb="FF4A86E8"/>
      </top>
      <bottom/>
      <diagonal/>
    </border>
    <border>
      <left style="medium">
        <color rgb="FF000000"/>
      </left>
      <right style="medium">
        <color rgb="FF000000"/>
      </right>
      <top style="medium">
        <color rgb="FF4A86E8"/>
      </top>
      <bottom/>
      <diagonal/>
    </border>
    <border>
      <left style="thick">
        <color rgb="FF000000"/>
      </left>
      <right style="thick">
        <color rgb="FF000000"/>
      </right>
      <top style="medium">
        <color rgb="FF4A86E8"/>
      </top>
      <bottom/>
      <diagonal/>
    </border>
    <border>
      <left/>
      <right style="thin">
        <color rgb="FF505050"/>
      </right>
      <top style="medium">
        <color rgb="FF4A86E8"/>
      </top>
      <bottom style="thin">
        <color rgb="FF000000"/>
      </bottom>
      <diagonal/>
    </border>
    <border>
      <left style="thin">
        <color rgb="FF505050"/>
      </left>
      <right style="thin">
        <color rgb="FF505050"/>
      </right>
      <top style="medium">
        <color rgb="FF4A86E8"/>
      </top>
      <bottom style="thin">
        <color rgb="FF000000"/>
      </bottom>
      <diagonal/>
    </border>
    <border>
      <left style="thin">
        <color rgb="FF505050"/>
      </left>
      <right/>
      <top style="medium">
        <color rgb="FF4A86E8"/>
      </top>
      <bottom style="thin">
        <color rgb="FF000000"/>
      </bottom>
      <diagonal/>
    </border>
    <border>
      <left/>
      <right/>
      <top style="medium">
        <color rgb="FF4A86E8"/>
      </top>
      <bottom/>
      <diagonal/>
    </border>
    <border>
      <left style="thin">
        <color rgb="FF505050"/>
      </left>
      <right style="thin">
        <color rgb="FF505050"/>
      </right>
      <top style="thin">
        <color rgb="FF000000"/>
      </top>
      <bottom style="thin">
        <color rgb="FF000000"/>
      </bottom>
      <diagonal/>
    </border>
    <border>
      <left style="thin">
        <color rgb="FF505050"/>
      </left>
      <right/>
      <top style="thin">
        <color rgb="FF000000"/>
      </top>
      <bottom style="thin">
        <color rgb="FF000000"/>
      </bottom>
      <diagonal/>
    </border>
    <border>
      <left/>
      <right style="thin">
        <color rgb="FF505050"/>
      </right>
      <top style="thin">
        <color rgb="FF000000"/>
      </top>
      <bottom/>
      <diagonal/>
    </border>
    <border>
      <left style="thin">
        <color rgb="FF505050"/>
      </left>
      <right style="thin">
        <color rgb="FF505050"/>
      </right>
      <top style="thin">
        <color rgb="FF000000"/>
      </top>
      <bottom/>
      <diagonal/>
    </border>
    <border>
      <left style="thin">
        <color rgb="FF505050"/>
      </left>
      <right/>
      <top style="thin">
        <color rgb="FF000000"/>
      </top>
      <bottom/>
      <diagonal/>
    </border>
    <border>
      <left/>
      <right/>
      <top style="medium">
        <color rgb="FF4A86E8"/>
      </top>
      <bottom style="thin">
        <color rgb="FF000000"/>
      </bottom>
      <diagonal/>
    </border>
    <border>
      <left/>
      <right style="thin">
        <color rgb="FF505050"/>
      </right>
      <top style="thin">
        <color rgb="FF000000"/>
      </top>
      <bottom style="thick">
        <color rgb="FF000000"/>
      </bottom>
      <diagonal/>
    </border>
    <border>
      <left/>
      <right/>
      <top style="thin">
        <color rgb="FF000000"/>
      </top>
      <bottom style="thick">
        <color rgb="FF000000"/>
      </bottom>
      <diagonal/>
    </border>
    <border>
      <left style="medium">
        <color rgb="FF000000"/>
      </left>
      <right/>
      <top/>
      <bottom style="thick">
        <color rgb="FF000000"/>
      </bottom>
      <diagonal/>
    </border>
    <border>
      <left style="thick">
        <color rgb="FFFF0000"/>
      </left>
      <right/>
      <top style="thick">
        <color rgb="FF000000"/>
      </top>
      <bottom/>
      <diagonal/>
    </border>
    <border>
      <left style="medium">
        <color rgb="FF000000"/>
      </left>
      <right style="medium">
        <color rgb="FF000000"/>
      </right>
      <top/>
      <bottom style="medium">
        <color rgb="FF4472C4"/>
      </bottom>
      <diagonal/>
    </border>
    <border>
      <left/>
      <right/>
      <top style="thin">
        <color rgb="FF000000"/>
      </top>
      <bottom style="medium">
        <color rgb="FF4472C4"/>
      </bottom>
      <diagonal/>
    </border>
    <border>
      <left style="thin">
        <color rgb="FF000000"/>
      </left>
      <right style="thin">
        <color rgb="FF000000"/>
      </right>
      <top style="thin">
        <color rgb="FF000000"/>
      </top>
      <bottom style="medium">
        <color rgb="FF4472C4"/>
      </bottom>
      <diagonal/>
    </border>
    <border>
      <left/>
      <right style="medium">
        <color rgb="FF000000"/>
      </right>
      <top/>
      <bottom style="medium">
        <color rgb="FF4472C4"/>
      </bottom>
      <diagonal/>
    </border>
    <border>
      <left/>
      <right style="medium">
        <color rgb="FF000000"/>
      </right>
      <top/>
      <bottom style="medium">
        <color rgb="FF3C78D8"/>
      </bottom>
      <diagonal/>
    </border>
    <border>
      <left/>
      <right/>
      <top/>
      <bottom style="medium">
        <color rgb="FF3C78D8"/>
      </bottom>
      <diagonal/>
    </border>
    <border>
      <left style="thin">
        <color rgb="FFFF0000"/>
      </left>
      <right/>
      <top/>
      <bottom/>
      <diagonal/>
    </border>
    <border>
      <left style="medium">
        <color rgb="FF000000"/>
      </left>
      <right style="medium">
        <color rgb="FF000000"/>
      </right>
      <top/>
      <bottom style="thick">
        <color rgb="FF3C78D8"/>
      </bottom>
      <diagonal/>
    </border>
    <border>
      <left style="thin">
        <color rgb="FF000000"/>
      </left>
      <right/>
      <top/>
      <bottom/>
      <diagonal/>
    </border>
    <border>
      <left style="thin">
        <color rgb="FFFF0000"/>
      </left>
      <right/>
      <top/>
      <bottom style="thin">
        <color rgb="FF000000"/>
      </bottom>
      <diagonal/>
    </border>
    <border>
      <left/>
      <right style="thin">
        <color rgb="FF000000"/>
      </right>
      <top style="thin">
        <color rgb="FF000000"/>
      </top>
      <bottom style="medium">
        <color rgb="FF4472C4"/>
      </bottom>
      <diagonal/>
    </border>
    <border>
      <left style="thin">
        <color rgb="FFFF0000"/>
      </left>
      <right/>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style="medium">
        <color rgb="FF4A86E8"/>
      </bottom>
      <diagonal/>
    </border>
    <border>
      <left style="medium">
        <color rgb="FF000000"/>
      </left>
      <right/>
      <top/>
      <bottom style="medium">
        <color rgb="FF4472C4"/>
      </bottom>
      <diagonal/>
    </border>
    <border>
      <left/>
      <right/>
      <top/>
      <bottom style="medium">
        <color rgb="FF4472C4"/>
      </bottom>
      <diagonal/>
    </border>
    <border>
      <left style="medium">
        <color rgb="FF000000"/>
      </left>
      <right/>
      <top style="medium">
        <color rgb="FF000000"/>
      </top>
      <bottom/>
      <diagonal/>
    </border>
    <border>
      <left style="medium">
        <color rgb="FF0000FF"/>
      </left>
      <right style="medium">
        <color rgb="FF0000FF"/>
      </right>
      <top style="medium">
        <color rgb="FF0000FF"/>
      </top>
      <bottom/>
      <diagonal/>
    </border>
    <border>
      <left style="medium">
        <color rgb="FF000000"/>
      </left>
      <right style="thick">
        <color rgb="FF000000"/>
      </right>
      <top/>
      <bottom/>
      <diagonal/>
    </border>
    <border>
      <left/>
      <right style="thick">
        <color rgb="FF000000"/>
      </right>
      <top style="medium">
        <color rgb="FF0000FF"/>
      </top>
      <bottom/>
      <diagonal/>
    </border>
    <border>
      <left/>
      <right style="medium">
        <color rgb="FF0000FF"/>
      </right>
      <top style="medium">
        <color rgb="FF0000FF"/>
      </top>
      <bottom/>
      <diagonal/>
    </border>
    <border>
      <left style="medium">
        <color rgb="FF0000FF"/>
      </left>
      <right style="medium">
        <color rgb="FF0000FF"/>
      </right>
      <top/>
      <bottom style="medium">
        <color rgb="FF0000FF"/>
      </bottom>
      <diagonal/>
    </border>
    <border>
      <left/>
      <right style="medium">
        <color rgb="FF0000FF"/>
      </right>
      <top/>
      <bottom/>
      <diagonal/>
    </border>
    <border>
      <left style="medium">
        <color rgb="FF0000FF"/>
      </left>
      <right style="medium">
        <color rgb="FF0000FF"/>
      </right>
      <top/>
      <bottom/>
      <diagonal/>
    </border>
    <border>
      <left style="medium">
        <color rgb="FF000000"/>
      </left>
      <right/>
      <top/>
      <bottom style="medium">
        <color rgb="FF0000FF"/>
      </bottom>
      <diagonal/>
    </border>
    <border>
      <left style="medium">
        <color rgb="FF000000"/>
      </left>
      <right style="thick">
        <color rgb="FF000000"/>
      </right>
      <top/>
      <bottom style="medium">
        <color rgb="FF3C78D8"/>
      </bottom>
      <diagonal/>
    </border>
    <border>
      <left/>
      <right style="thick">
        <color rgb="FF000000"/>
      </right>
      <top/>
      <bottom style="medium">
        <color rgb="FF0000FF"/>
      </bottom>
      <diagonal/>
    </border>
    <border>
      <left/>
      <right style="medium">
        <color rgb="FF0000FF"/>
      </right>
      <top/>
      <bottom style="medium">
        <color rgb="FF0000FF"/>
      </bottom>
      <diagonal/>
    </border>
    <border>
      <left style="medium">
        <color rgb="FF000000"/>
      </left>
      <right/>
      <top style="medium">
        <color rgb="FF0000FF"/>
      </top>
      <bottom/>
      <diagonal/>
    </border>
    <border>
      <left style="medium">
        <color rgb="FF0000FF"/>
      </left>
      <right/>
      <top style="medium">
        <color rgb="FF0000FF"/>
      </top>
      <bottom/>
      <diagonal/>
    </border>
    <border>
      <left style="medium">
        <color rgb="FF0000FF"/>
      </left>
      <right/>
      <top/>
      <bottom/>
      <diagonal/>
    </border>
    <border>
      <left style="medium">
        <color rgb="FF0000FF"/>
      </left>
      <right/>
      <top/>
      <bottom style="medium">
        <color rgb="FF0000FF"/>
      </bottom>
      <diagonal/>
    </border>
    <border>
      <left style="thin">
        <color rgb="FF000000"/>
      </left>
      <right/>
      <top style="thick">
        <color rgb="FF000000"/>
      </top>
      <bottom style="thin">
        <color rgb="FF000000"/>
      </bottom>
      <diagonal/>
    </border>
    <border>
      <left style="medium">
        <color rgb="FF000000"/>
      </left>
      <right style="medium">
        <color rgb="FF000000"/>
      </right>
      <top style="medium">
        <color rgb="FF0000FF"/>
      </top>
      <bottom/>
      <diagonal/>
    </border>
    <border>
      <left style="medium">
        <color rgb="FF000000"/>
      </left>
      <right style="thick">
        <color rgb="FF000000"/>
      </right>
      <top style="medium">
        <color rgb="FF0000FF"/>
      </top>
      <bottom/>
      <diagonal/>
    </border>
    <border>
      <left style="medium">
        <color rgb="FF000000"/>
      </left>
      <right style="thick">
        <color rgb="FF000000"/>
      </right>
      <top/>
      <bottom style="thick">
        <color rgb="FF000000"/>
      </bottom>
      <diagonal/>
    </border>
    <border>
      <left style="medium">
        <color rgb="FF000000"/>
      </left>
      <right/>
      <top style="thin">
        <color rgb="FF000000"/>
      </top>
      <bottom/>
      <diagonal/>
    </border>
    <border>
      <left style="medium">
        <color rgb="FF000000"/>
      </left>
      <right/>
      <top/>
      <bottom style="medium">
        <color rgb="FF000000"/>
      </bottom>
      <diagonal/>
    </border>
    <border>
      <left/>
      <right style="thick">
        <color rgb="FF000000"/>
      </right>
      <top/>
      <bottom style="thick">
        <color rgb="FF000000"/>
      </bottom>
      <diagonal/>
    </border>
  </borders>
  <cellStyleXfs count="1">
    <xf numFmtId="0" fontId="0" fillId="0" borderId="0"/>
  </cellStyleXfs>
  <cellXfs count="359">
    <xf numFmtId="0" fontId="0" fillId="0" borderId="0" xfId="0"/>
    <xf numFmtId="0" fontId="3"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5" xfId="0" applyFont="1" applyFill="1" applyBorder="1" applyAlignment="1">
      <alignment horizontal="center"/>
    </xf>
    <xf numFmtId="0" fontId="6" fillId="3" borderId="5" xfId="0" applyFont="1" applyFill="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8" fillId="0" borderId="5" xfId="0" applyFont="1" applyBorder="1" applyAlignment="1">
      <alignment horizontal="center" vertical="center"/>
    </xf>
    <xf numFmtId="0" fontId="7" fillId="0" borderId="8" xfId="0" applyFont="1" applyBorder="1" applyAlignment="1">
      <alignment horizontal="center" vertical="center"/>
    </xf>
    <xf numFmtId="0" fontId="7" fillId="4" borderId="10" xfId="0" applyFont="1" applyFill="1" applyBorder="1" applyAlignment="1">
      <alignment horizontal="center" vertical="center"/>
    </xf>
    <xf numFmtId="0" fontId="8" fillId="4" borderId="5" xfId="0" applyFont="1" applyFill="1" applyBorder="1" applyAlignment="1">
      <alignment horizontal="center"/>
    </xf>
    <xf numFmtId="0" fontId="7" fillId="4" borderId="5" xfId="0" applyFont="1" applyFill="1" applyBorder="1" applyAlignment="1">
      <alignment horizontal="center" vertical="center"/>
    </xf>
    <xf numFmtId="0" fontId="7" fillId="4" borderId="8" xfId="0" applyFont="1" applyFill="1" applyBorder="1" applyAlignment="1">
      <alignment horizontal="center" vertical="center"/>
    </xf>
    <xf numFmtId="0" fontId="9" fillId="4" borderId="0" xfId="0" applyFont="1" applyFill="1"/>
    <xf numFmtId="0" fontId="8" fillId="5" borderId="5" xfId="0" applyFont="1" applyFill="1" applyBorder="1" applyAlignment="1">
      <alignment horizontal="center"/>
    </xf>
    <xf numFmtId="0" fontId="7" fillId="5" borderId="5" xfId="0" applyFont="1" applyFill="1" applyBorder="1" applyAlignment="1">
      <alignment horizontal="center" vertical="center"/>
    </xf>
    <xf numFmtId="0" fontId="7" fillId="5" borderId="8" xfId="0" applyFont="1" applyFill="1" applyBorder="1" applyAlignment="1">
      <alignment horizontal="center" vertical="center"/>
    </xf>
    <xf numFmtId="0" fontId="10" fillId="5" borderId="5" xfId="0" applyFont="1" applyFill="1" applyBorder="1" applyAlignment="1">
      <alignment horizontal="center" vertical="center"/>
    </xf>
    <xf numFmtId="0" fontId="10" fillId="4" borderId="5" xfId="0" applyFont="1" applyFill="1" applyBorder="1" applyAlignment="1">
      <alignment horizontal="center" vertical="center"/>
    </xf>
    <xf numFmtId="0" fontId="8" fillId="4" borderId="10" xfId="0" applyFont="1" applyFill="1" applyBorder="1" applyAlignment="1">
      <alignment horizontal="center"/>
    </xf>
    <xf numFmtId="0" fontId="8" fillId="0" borderId="17" xfId="0" applyFont="1" applyBorder="1" applyAlignment="1">
      <alignment horizontal="center"/>
    </xf>
    <xf numFmtId="0" fontId="7" fillId="0" borderId="17" xfId="0" applyFont="1" applyBorder="1" applyAlignment="1">
      <alignment horizontal="center" vertical="center"/>
    </xf>
    <xf numFmtId="0" fontId="8" fillId="0" borderId="5" xfId="0" applyFont="1" applyBorder="1" applyAlignment="1">
      <alignment horizontal="center"/>
    </xf>
    <xf numFmtId="0" fontId="8" fillId="0" borderId="10" xfId="0" applyFont="1" applyBorder="1" applyAlignment="1">
      <alignment horizontal="center"/>
    </xf>
    <xf numFmtId="0" fontId="7" fillId="0" borderId="10" xfId="0" applyFont="1" applyBorder="1" applyAlignment="1">
      <alignment horizontal="center" vertical="center"/>
    </xf>
    <xf numFmtId="0" fontId="11" fillId="0" borderId="18" xfId="0" applyFont="1" applyBorder="1" applyAlignment="1">
      <alignment horizontal="center" vertical="center"/>
    </xf>
    <xf numFmtId="0" fontId="7" fillId="0" borderId="19" xfId="0" applyFont="1" applyBorder="1" applyAlignment="1">
      <alignment horizontal="center" vertical="center"/>
    </xf>
    <xf numFmtId="0" fontId="8" fillId="0" borderId="22" xfId="0" applyFont="1" applyBorder="1" applyAlignment="1">
      <alignment horizontal="center"/>
    </xf>
    <xf numFmtId="0" fontId="7" fillId="0" borderId="22" xfId="0" applyFont="1" applyBorder="1" applyAlignment="1">
      <alignment horizontal="center" vertical="center"/>
    </xf>
    <xf numFmtId="0" fontId="15" fillId="3" borderId="32" xfId="0" applyFont="1" applyFill="1" applyBorder="1" applyAlignment="1">
      <alignment horizontal="center" vertical="center" wrapText="1"/>
    </xf>
    <xf numFmtId="0" fontId="15" fillId="3" borderId="33" xfId="0" applyFont="1" applyFill="1" applyBorder="1" applyAlignment="1">
      <alignment horizontal="center" vertical="center" wrapText="1"/>
    </xf>
    <xf numFmtId="0" fontId="19" fillId="4" borderId="41" xfId="0" applyFont="1" applyFill="1" applyBorder="1" applyAlignment="1">
      <alignment horizontal="center" vertical="center" wrapText="1"/>
    </xf>
    <xf numFmtId="0" fontId="19" fillId="4" borderId="14" xfId="0" applyFont="1" applyFill="1" applyBorder="1" applyAlignment="1">
      <alignment horizontal="center" vertical="center" wrapText="1"/>
    </xf>
    <xf numFmtId="0" fontId="19" fillId="4" borderId="42" xfId="0" applyFont="1" applyFill="1" applyBorder="1" applyAlignment="1">
      <alignment horizontal="center" vertical="center" wrapText="1"/>
    </xf>
    <xf numFmtId="0" fontId="19" fillId="4" borderId="43" xfId="0" applyFont="1" applyFill="1" applyBorder="1" applyAlignment="1">
      <alignment horizontal="center" vertical="center" wrapText="1"/>
    </xf>
    <xf numFmtId="0" fontId="19" fillId="4" borderId="47"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19" fillId="4" borderId="6" xfId="0" applyFont="1" applyFill="1" applyBorder="1" applyAlignment="1">
      <alignment horizontal="center" vertical="center" wrapText="1"/>
    </xf>
    <xf numFmtId="3" fontId="16" fillId="4" borderId="5" xfId="0" applyNumberFormat="1" applyFont="1" applyFill="1" applyBorder="1" applyAlignment="1">
      <alignment horizontal="center" vertical="center" wrapText="1"/>
    </xf>
    <xf numFmtId="0" fontId="19" fillId="4" borderId="51" xfId="0" applyFont="1" applyFill="1" applyBorder="1" applyAlignment="1">
      <alignment horizontal="center" vertical="center" wrapText="1"/>
    </xf>
    <xf numFmtId="0" fontId="19" fillId="4" borderId="52" xfId="0" applyFont="1" applyFill="1" applyBorder="1" applyAlignment="1">
      <alignment horizontal="center" vertical="center" wrapText="1"/>
    </xf>
    <xf numFmtId="0" fontId="19" fillId="4" borderId="44" xfId="0" applyFont="1" applyFill="1" applyBorder="1" applyAlignment="1">
      <alignment horizontal="center" vertical="center" wrapText="1"/>
    </xf>
    <xf numFmtId="0" fontId="16" fillId="4" borderId="5" xfId="0" applyFont="1" applyFill="1" applyBorder="1" applyAlignment="1">
      <alignment horizontal="center" vertical="center" wrapText="1"/>
    </xf>
    <xf numFmtId="1" fontId="16" fillId="4" borderId="5" xfId="0" applyNumberFormat="1" applyFont="1" applyFill="1" applyBorder="1" applyAlignment="1">
      <alignment horizontal="center" vertical="center" wrapText="1"/>
    </xf>
    <xf numFmtId="0" fontId="23" fillId="4" borderId="47" xfId="0" applyFont="1" applyFill="1" applyBorder="1" applyAlignment="1">
      <alignment horizontal="center" vertical="center" wrapText="1"/>
    </xf>
    <xf numFmtId="0" fontId="23" fillId="4" borderId="5" xfId="0" applyFont="1" applyFill="1" applyBorder="1" applyAlignment="1">
      <alignment horizontal="center" vertical="center" wrapText="1"/>
    </xf>
    <xf numFmtId="0" fontId="23" fillId="4" borderId="6" xfId="0" applyFont="1" applyFill="1" applyBorder="1" applyAlignment="1">
      <alignment horizontal="center" vertical="center" wrapText="1"/>
    </xf>
    <xf numFmtId="0" fontId="23" fillId="4" borderId="59" xfId="0" applyFont="1" applyFill="1" applyBorder="1" applyAlignment="1">
      <alignment horizontal="center" vertical="center" wrapText="1"/>
    </xf>
    <xf numFmtId="0" fontId="23" fillId="4" borderId="43" xfId="0" applyFont="1" applyFill="1" applyBorder="1" applyAlignment="1">
      <alignment horizontal="center" vertical="center" wrapText="1"/>
    </xf>
    <xf numFmtId="0" fontId="24" fillId="4" borderId="12" xfId="0" applyFont="1" applyFill="1" applyBorder="1" applyAlignment="1">
      <alignment horizontal="center" vertical="center" wrapText="1"/>
    </xf>
    <xf numFmtId="0" fontId="23" fillId="4" borderId="60" xfId="0" applyFont="1" applyFill="1" applyBorder="1" applyAlignment="1">
      <alignment horizontal="center" vertical="center" wrapText="1"/>
    </xf>
    <xf numFmtId="0" fontId="16" fillId="4" borderId="5" xfId="0" applyFont="1" applyFill="1" applyBorder="1" applyAlignment="1">
      <alignment horizontal="center" vertical="center"/>
    </xf>
    <xf numFmtId="0" fontId="23" fillId="4" borderId="62" xfId="0" applyFont="1" applyFill="1" applyBorder="1" applyAlignment="1">
      <alignment horizontal="center" vertical="center" wrapText="1"/>
    </xf>
    <xf numFmtId="0" fontId="16" fillId="4" borderId="5" xfId="0" applyFont="1" applyFill="1" applyBorder="1" applyAlignment="1">
      <alignment horizontal="center"/>
    </xf>
    <xf numFmtId="0" fontId="25" fillId="4" borderId="5" xfId="0" applyFont="1" applyFill="1" applyBorder="1"/>
    <xf numFmtId="0" fontId="25" fillId="4" borderId="6" xfId="0" applyFont="1" applyFill="1" applyBorder="1" applyAlignment="1">
      <alignment horizontal="center"/>
    </xf>
    <xf numFmtId="0" fontId="25" fillId="4" borderId="5" xfId="0" applyFont="1" applyFill="1" applyBorder="1" applyAlignment="1">
      <alignment horizontal="center"/>
    </xf>
    <xf numFmtId="0" fontId="25" fillId="4" borderId="6" xfId="0" applyFont="1" applyFill="1" applyBorder="1"/>
    <xf numFmtId="0" fontId="19" fillId="4" borderId="65" xfId="0" applyFont="1" applyFill="1" applyBorder="1" applyAlignment="1">
      <alignment horizontal="center" vertical="center" wrapText="1"/>
    </xf>
    <xf numFmtId="0" fontId="19" fillId="4" borderId="66" xfId="0" applyFont="1" applyFill="1" applyBorder="1" applyAlignment="1">
      <alignment horizontal="center" vertical="center" wrapText="1"/>
    </xf>
    <xf numFmtId="0" fontId="19" fillId="4" borderId="67" xfId="0" applyFont="1" applyFill="1" applyBorder="1" applyAlignment="1">
      <alignment horizontal="center" vertical="center" wrapText="1"/>
    </xf>
    <xf numFmtId="0" fontId="19" fillId="4" borderId="57" xfId="0" applyFont="1" applyFill="1" applyBorder="1" applyAlignment="1">
      <alignment horizontal="center" vertical="center" wrapText="1"/>
    </xf>
    <xf numFmtId="0" fontId="19" fillId="4" borderId="34" xfId="0" applyFont="1" applyFill="1" applyBorder="1" applyAlignment="1">
      <alignment horizontal="center" vertical="center" wrapText="1"/>
    </xf>
    <xf numFmtId="0" fontId="26" fillId="4" borderId="34" xfId="0" applyFont="1" applyFill="1" applyBorder="1" applyAlignment="1">
      <alignment horizontal="center" vertical="center" wrapText="1"/>
    </xf>
    <xf numFmtId="0" fontId="23" fillId="4" borderId="34" xfId="0" applyFont="1" applyFill="1" applyBorder="1" applyAlignment="1">
      <alignment horizontal="center" vertical="center" wrapText="1"/>
    </xf>
    <xf numFmtId="0" fontId="19" fillId="4" borderId="59" xfId="0" applyFont="1" applyFill="1" applyBorder="1" applyAlignment="1">
      <alignment horizontal="center" vertical="center" wrapText="1"/>
    </xf>
    <xf numFmtId="165" fontId="19" fillId="4" borderId="34" xfId="0" applyNumberFormat="1" applyFont="1" applyFill="1" applyBorder="1" applyAlignment="1">
      <alignment horizontal="center" vertical="center" wrapText="1"/>
    </xf>
    <xf numFmtId="165" fontId="19" fillId="4" borderId="50" xfId="0" applyNumberFormat="1" applyFont="1" applyFill="1" applyBorder="1" applyAlignment="1">
      <alignment horizontal="center" vertical="center" wrapText="1"/>
    </xf>
    <xf numFmtId="0" fontId="19" fillId="4" borderId="62" xfId="0" applyFont="1" applyFill="1" applyBorder="1" applyAlignment="1">
      <alignment horizontal="center" vertical="center" wrapText="1"/>
    </xf>
    <xf numFmtId="0" fontId="19" fillId="4" borderId="69" xfId="0" applyFont="1" applyFill="1" applyBorder="1" applyAlignment="1">
      <alignment horizontal="center" vertical="center" wrapText="1"/>
    </xf>
    <xf numFmtId="0" fontId="19" fillId="4" borderId="60" xfId="0" applyFont="1" applyFill="1" applyBorder="1" applyAlignment="1">
      <alignment horizontal="center" vertical="center" wrapText="1"/>
    </xf>
    <xf numFmtId="0" fontId="19" fillId="4" borderId="0" xfId="0" applyFont="1" applyFill="1" applyAlignment="1">
      <alignment horizontal="center" vertical="center" wrapText="1"/>
    </xf>
    <xf numFmtId="0" fontId="19" fillId="4" borderId="70" xfId="0" applyFont="1" applyFill="1" applyBorder="1" applyAlignment="1">
      <alignment horizontal="center" vertical="center" wrapText="1"/>
    </xf>
    <xf numFmtId="0" fontId="19" fillId="4" borderId="71" xfId="0" applyFont="1" applyFill="1" applyBorder="1" applyAlignment="1">
      <alignment horizontal="center" vertical="center" wrapText="1"/>
    </xf>
    <xf numFmtId="0" fontId="19" fillId="4" borderId="10" xfId="0" applyFont="1" applyFill="1" applyBorder="1" applyAlignment="1">
      <alignment horizontal="center" vertical="center" wrapText="1"/>
    </xf>
    <xf numFmtId="0" fontId="9" fillId="0" borderId="0" xfId="0" applyFont="1"/>
    <xf numFmtId="0" fontId="23" fillId="7" borderId="14" xfId="0" applyFont="1" applyFill="1" applyBorder="1" applyAlignment="1">
      <alignment horizontal="center"/>
    </xf>
    <xf numFmtId="1" fontId="22" fillId="7" borderId="14" xfId="0" applyNumberFormat="1" applyFont="1" applyFill="1" applyBorder="1" applyAlignment="1">
      <alignment horizontal="center" vertical="center" wrapText="1"/>
    </xf>
    <xf numFmtId="0" fontId="16" fillId="7" borderId="34" xfId="0" applyFont="1" applyFill="1" applyBorder="1" applyAlignment="1">
      <alignment horizontal="center" vertical="center" wrapText="1"/>
    </xf>
    <xf numFmtId="0" fontId="22" fillId="7" borderId="48" xfId="0" applyFont="1" applyFill="1" applyBorder="1" applyAlignment="1">
      <alignment horizontal="center" vertical="center" wrapText="1"/>
    </xf>
    <xf numFmtId="0" fontId="19" fillId="7" borderId="49" xfId="0" applyFont="1" applyFill="1" applyBorder="1" applyAlignment="1">
      <alignment horizontal="center" vertical="center" wrapText="1"/>
    </xf>
    <xf numFmtId="0" fontId="9" fillId="7" borderId="0" xfId="0" applyFont="1" applyFill="1"/>
    <xf numFmtId="0" fontId="19" fillId="7" borderId="5" xfId="0" applyFont="1" applyFill="1" applyBorder="1" applyAlignment="1">
      <alignment horizontal="center" vertical="center" wrapText="1"/>
    </xf>
    <xf numFmtId="1" fontId="22" fillId="7" borderId="5" xfId="0" applyNumberFormat="1" applyFont="1" applyFill="1" applyBorder="1" applyAlignment="1">
      <alignment horizontal="center" vertical="center" wrapText="1"/>
    </xf>
    <xf numFmtId="0" fontId="19" fillId="7" borderId="10" xfId="0" applyFont="1" applyFill="1" applyBorder="1" applyAlignment="1">
      <alignment horizontal="center" vertical="center" wrapText="1"/>
    </xf>
    <xf numFmtId="0" fontId="22" fillId="7" borderId="63" xfId="0" applyFont="1" applyFill="1" applyBorder="1" applyAlignment="1">
      <alignment horizontal="center" vertical="center" wrapText="1"/>
    </xf>
    <xf numFmtId="0" fontId="19" fillId="7" borderId="12" xfId="0" applyFont="1" applyFill="1" applyBorder="1" applyAlignment="1">
      <alignment horizontal="center" vertical="center" wrapText="1"/>
    </xf>
    <xf numFmtId="0" fontId="24" fillId="7" borderId="73" xfId="0" applyFont="1" applyFill="1" applyBorder="1" applyAlignment="1">
      <alignment horizontal="center" vertical="center" wrapText="1"/>
    </xf>
    <xf numFmtId="0" fontId="24" fillId="7" borderId="70" xfId="0" applyFont="1" applyFill="1" applyBorder="1" applyAlignment="1">
      <alignment horizontal="center" vertical="top" wrapText="1"/>
    </xf>
    <xf numFmtId="0" fontId="24" fillId="7" borderId="70" xfId="0" applyFont="1" applyFill="1" applyBorder="1" applyAlignment="1">
      <alignment horizontal="center" vertical="center" wrapText="1"/>
    </xf>
    <xf numFmtId="0" fontId="24" fillId="7" borderId="74" xfId="0" applyFont="1" applyFill="1" applyBorder="1" applyAlignment="1">
      <alignment horizontal="center" vertical="center" wrapText="1"/>
    </xf>
    <xf numFmtId="0" fontId="24" fillId="7" borderId="71" xfId="0" applyFont="1" applyFill="1" applyBorder="1" applyAlignment="1">
      <alignment horizontal="center" vertical="center" wrapText="1"/>
    </xf>
    <xf numFmtId="0" fontId="24" fillId="7" borderId="75" xfId="0" applyFont="1" applyFill="1" applyBorder="1" applyAlignment="1">
      <alignment horizontal="center" vertical="center" wrapText="1"/>
    </xf>
    <xf numFmtId="0" fontId="24" fillId="7" borderId="5" xfId="0" applyFont="1" applyFill="1" applyBorder="1" applyAlignment="1">
      <alignment horizontal="center" vertical="center" wrapText="1"/>
    </xf>
    <xf numFmtId="0" fontId="24" fillId="7" borderId="47" xfId="0" applyFont="1" applyFill="1" applyBorder="1" applyAlignment="1">
      <alignment horizontal="center" vertical="center" wrapText="1"/>
    </xf>
    <xf numFmtId="0" fontId="24" fillId="7" borderId="6" xfId="0" applyFont="1" applyFill="1" applyBorder="1" applyAlignment="1">
      <alignment horizontal="center" vertical="center" wrapText="1"/>
    </xf>
    <xf numFmtId="0" fontId="24" fillId="7" borderId="76" xfId="0" applyFont="1" applyFill="1" applyBorder="1" applyAlignment="1">
      <alignment horizontal="center" vertical="center" wrapText="1"/>
    </xf>
    <xf numFmtId="0" fontId="24" fillId="7" borderId="77" xfId="0" applyFont="1" applyFill="1" applyBorder="1" applyAlignment="1">
      <alignment horizontal="center" vertical="center" wrapText="1"/>
    </xf>
    <xf numFmtId="0" fontId="17" fillId="7" borderId="34" xfId="0" applyFont="1" applyFill="1" applyBorder="1" applyAlignment="1">
      <alignment horizontal="center" vertical="center" wrapText="1"/>
    </xf>
    <xf numFmtId="0" fontId="19" fillId="7" borderId="41" xfId="0" applyFont="1" applyFill="1" applyBorder="1" applyAlignment="1">
      <alignment horizontal="center" vertical="center" wrapText="1"/>
    </xf>
    <xf numFmtId="0" fontId="19" fillId="7" borderId="14" xfId="0" applyFont="1" applyFill="1" applyBorder="1" applyAlignment="1">
      <alignment horizontal="center" vertical="center" wrapText="1"/>
    </xf>
    <xf numFmtId="0" fontId="19" fillId="7" borderId="42" xfId="0" applyFont="1" applyFill="1" applyBorder="1" applyAlignment="1">
      <alignment horizontal="center" vertical="center" wrapText="1"/>
    </xf>
    <xf numFmtId="0" fontId="19" fillId="7" borderId="47" xfId="0" applyFont="1" applyFill="1" applyBorder="1" applyAlignment="1">
      <alignment horizontal="center" vertical="center" wrapText="1"/>
    </xf>
    <xf numFmtId="0" fontId="19" fillId="7" borderId="6" xfId="0" applyFont="1" applyFill="1" applyBorder="1" applyAlignment="1">
      <alignment horizontal="center" vertical="center" wrapText="1"/>
    </xf>
    <xf numFmtId="0" fontId="19" fillId="7" borderId="62" xfId="0" applyFont="1" applyFill="1" applyBorder="1" applyAlignment="1">
      <alignment horizontal="center" vertical="center" wrapText="1"/>
    </xf>
    <xf numFmtId="0" fontId="19" fillId="7" borderId="60" xfId="0" applyFont="1" applyFill="1" applyBorder="1" applyAlignment="1">
      <alignment horizontal="center" vertical="center" wrapText="1"/>
    </xf>
    <xf numFmtId="0" fontId="19" fillId="7" borderId="0" xfId="0" applyFont="1" applyFill="1" applyAlignment="1">
      <alignment horizontal="center" vertical="center" wrapText="1"/>
    </xf>
    <xf numFmtId="0" fontId="16" fillId="7" borderId="50" xfId="0" applyFont="1" applyFill="1" applyBorder="1" applyAlignment="1">
      <alignment horizontal="center" vertical="center" wrapText="1"/>
    </xf>
    <xf numFmtId="0" fontId="19" fillId="7" borderId="79" xfId="0" applyFont="1" applyFill="1" applyBorder="1" applyAlignment="1">
      <alignment horizontal="center" vertical="center" wrapText="1"/>
    </xf>
    <xf numFmtId="0" fontId="19" fillId="7" borderId="80" xfId="0" applyFont="1" applyFill="1" applyBorder="1" applyAlignment="1">
      <alignment horizontal="center" vertical="center" wrapText="1"/>
    </xf>
    <xf numFmtId="0" fontId="19" fillId="7" borderId="81" xfId="0" applyFont="1" applyFill="1" applyBorder="1" applyAlignment="1">
      <alignment horizontal="center" vertical="center" wrapText="1"/>
    </xf>
    <xf numFmtId="0" fontId="19" fillId="7" borderId="59" xfId="0" applyFont="1" applyFill="1" applyBorder="1" applyAlignment="1">
      <alignment horizontal="center" vertical="center" wrapText="1"/>
    </xf>
    <xf numFmtId="0" fontId="19" fillId="7" borderId="82" xfId="0" applyFont="1" applyFill="1" applyBorder="1" applyAlignment="1">
      <alignment horizontal="center" vertical="center" wrapText="1"/>
    </xf>
    <xf numFmtId="0" fontId="19" fillId="7" borderId="83" xfId="0" applyFont="1" applyFill="1" applyBorder="1" applyAlignment="1">
      <alignment horizontal="center" vertical="center" wrapText="1"/>
    </xf>
    <xf numFmtId="0" fontId="19" fillId="7" borderId="84" xfId="0" applyFont="1" applyFill="1" applyBorder="1" applyAlignment="1">
      <alignment horizontal="center" vertical="center" wrapText="1"/>
    </xf>
    <xf numFmtId="0" fontId="19" fillId="7" borderId="85" xfId="0" applyFont="1" applyFill="1" applyBorder="1" applyAlignment="1">
      <alignment horizontal="center" vertical="center" wrapText="1"/>
    </xf>
    <xf numFmtId="0" fontId="19" fillId="7" borderId="69" xfId="0" applyFont="1" applyFill="1" applyBorder="1" applyAlignment="1">
      <alignment horizontal="center" vertical="center" wrapText="1"/>
    </xf>
    <xf numFmtId="0" fontId="19" fillId="7" borderId="88" xfId="0" applyFont="1" applyFill="1" applyBorder="1" applyAlignment="1">
      <alignment horizontal="center" vertical="center" wrapText="1"/>
    </xf>
    <xf numFmtId="0" fontId="19" fillId="7" borderId="89" xfId="0" applyFont="1" applyFill="1" applyBorder="1" applyAlignment="1">
      <alignment horizontal="center" vertical="center" wrapText="1"/>
    </xf>
    <xf numFmtId="0" fontId="19" fillId="7" borderId="91" xfId="0" applyFont="1" applyFill="1" applyBorder="1" applyAlignment="1">
      <alignment horizontal="center" vertical="center" wrapText="1"/>
    </xf>
    <xf numFmtId="0" fontId="9" fillId="7" borderId="93" xfId="0" applyFont="1" applyFill="1" applyBorder="1"/>
    <xf numFmtId="0" fontId="19" fillId="7" borderId="22" xfId="0" applyFont="1" applyFill="1" applyBorder="1" applyAlignment="1">
      <alignment horizontal="center" vertical="center" wrapText="1"/>
    </xf>
    <xf numFmtId="0" fontId="19" fillId="7" borderId="95" xfId="0" applyFont="1" applyFill="1" applyBorder="1" applyAlignment="1">
      <alignment horizontal="center" vertical="center" wrapText="1"/>
    </xf>
    <xf numFmtId="0" fontId="9" fillId="7" borderId="0" xfId="0" applyFont="1" applyFill="1" applyAlignment="1">
      <alignment horizontal="center"/>
    </xf>
    <xf numFmtId="0" fontId="16" fillId="4" borderId="54" xfId="0" applyFont="1" applyFill="1" applyBorder="1" applyAlignment="1">
      <alignment horizontal="center" vertical="center" wrapText="1"/>
    </xf>
    <xf numFmtId="0" fontId="19" fillId="7" borderId="96" xfId="0" applyFont="1" applyFill="1" applyBorder="1" applyAlignment="1">
      <alignment horizontal="center" vertical="center" wrapText="1"/>
    </xf>
    <xf numFmtId="0" fontId="19" fillId="7" borderId="97" xfId="0" applyFont="1" applyFill="1" applyBorder="1" applyAlignment="1">
      <alignment horizontal="center" vertical="center" wrapText="1"/>
    </xf>
    <xf numFmtId="0" fontId="16" fillId="7" borderId="92" xfId="0" applyFont="1" applyFill="1" applyBorder="1" applyAlignment="1">
      <alignment horizontal="center" vertical="center" wrapText="1"/>
    </xf>
    <xf numFmtId="0" fontId="19" fillId="7" borderId="56" xfId="0" applyFont="1" applyFill="1" applyBorder="1" applyAlignment="1">
      <alignment horizontal="center" vertical="center" wrapText="1"/>
    </xf>
    <xf numFmtId="0" fontId="22" fillId="7" borderId="98" xfId="0" applyFont="1" applyFill="1" applyBorder="1" applyAlignment="1">
      <alignment horizontal="center" vertical="center" wrapText="1"/>
    </xf>
    <xf numFmtId="0" fontId="19" fillId="7" borderId="99" xfId="0" applyFont="1" applyFill="1" applyBorder="1" applyAlignment="1">
      <alignment horizontal="center" vertical="center" wrapText="1"/>
    </xf>
    <xf numFmtId="0" fontId="19" fillId="7" borderId="93" xfId="0" applyFont="1" applyFill="1" applyBorder="1" applyAlignment="1">
      <alignment horizontal="center" vertical="center" wrapText="1"/>
    </xf>
    <xf numFmtId="0" fontId="16" fillId="7" borderId="101" xfId="0" applyFont="1" applyFill="1" applyBorder="1" applyAlignment="1">
      <alignment horizontal="center" vertical="center" wrapText="1"/>
    </xf>
    <xf numFmtId="0" fontId="22" fillId="7" borderId="102" xfId="0" applyFont="1" applyFill="1" applyBorder="1" applyAlignment="1">
      <alignment horizontal="center" vertical="center" wrapText="1"/>
    </xf>
    <xf numFmtId="0" fontId="19" fillId="7" borderId="103" xfId="0" applyFont="1" applyFill="1" applyBorder="1" applyAlignment="1">
      <alignment horizontal="center" vertical="center" wrapText="1"/>
    </xf>
    <xf numFmtId="0" fontId="23" fillId="4" borderId="41" xfId="0" applyFont="1" applyFill="1" applyBorder="1" applyAlignment="1">
      <alignment horizontal="center" vertical="center" wrapText="1"/>
    </xf>
    <xf numFmtId="0" fontId="16" fillId="7" borderId="44" xfId="0" applyFont="1" applyFill="1" applyBorder="1" applyAlignment="1">
      <alignment horizontal="center" vertical="center" wrapText="1"/>
    </xf>
    <xf numFmtId="0" fontId="19" fillId="4" borderId="106" xfId="0" applyFont="1" applyFill="1" applyBorder="1" applyAlignment="1">
      <alignment horizontal="center" vertical="center" wrapText="1"/>
    </xf>
    <xf numFmtId="0" fontId="19" fillId="4" borderId="56" xfId="0" applyFont="1" applyFill="1" applyBorder="1" applyAlignment="1">
      <alignment horizontal="center" vertical="center" wrapText="1"/>
    </xf>
    <xf numFmtId="0" fontId="19" fillId="4" borderId="108" xfId="0" applyFont="1" applyFill="1" applyBorder="1" applyAlignment="1">
      <alignment horizontal="center" vertical="center" wrapText="1"/>
    </xf>
    <xf numFmtId="0" fontId="19" fillId="4" borderId="109" xfId="0" applyFont="1" applyFill="1" applyBorder="1" applyAlignment="1">
      <alignment horizontal="center" vertical="center" wrapText="1"/>
    </xf>
    <xf numFmtId="0" fontId="19" fillId="7" borderId="43" xfId="0" applyFont="1" applyFill="1" applyBorder="1" applyAlignment="1">
      <alignment horizontal="center" vertical="center" wrapText="1"/>
    </xf>
    <xf numFmtId="0" fontId="28" fillId="7" borderId="43" xfId="0" applyFont="1" applyFill="1" applyBorder="1" applyAlignment="1">
      <alignment horizontal="center" vertical="center" wrapText="1"/>
    </xf>
    <xf numFmtId="0" fontId="19" fillId="7" borderId="110" xfId="0" applyFont="1" applyFill="1" applyBorder="1" applyAlignment="1">
      <alignment horizontal="center" vertical="center" wrapText="1"/>
    </xf>
    <xf numFmtId="12" fontId="16" fillId="7" borderId="18" xfId="0" applyNumberFormat="1" applyFont="1" applyFill="1" applyBorder="1" applyAlignment="1">
      <alignment horizontal="center" vertical="center"/>
    </xf>
    <xf numFmtId="0" fontId="16" fillId="7" borderId="18" xfId="0" applyFont="1" applyFill="1" applyBorder="1" applyAlignment="1">
      <alignment horizontal="center" vertical="center"/>
    </xf>
    <xf numFmtId="0" fontId="19" fillId="7" borderId="48" xfId="0" applyFont="1" applyFill="1" applyBorder="1" applyAlignment="1">
      <alignment horizontal="center" vertical="center" wrapText="1"/>
    </xf>
    <xf numFmtId="0" fontId="28" fillId="7" borderId="0" xfId="0" applyFont="1" applyFill="1" applyAlignment="1">
      <alignment horizontal="center" vertical="center" wrapText="1"/>
    </xf>
    <xf numFmtId="0" fontId="16" fillId="7" borderId="0" xfId="0" applyFont="1" applyFill="1" applyAlignment="1">
      <alignment horizontal="center" vertical="center"/>
    </xf>
    <xf numFmtId="0" fontId="16" fillId="7" borderId="111" xfId="0" applyFont="1" applyFill="1" applyBorder="1" applyAlignment="1">
      <alignment horizontal="center" vertical="center"/>
    </xf>
    <xf numFmtId="0" fontId="28" fillId="7" borderId="69" xfId="0" applyFont="1" applyFill="1" applyBorder="1" applyAlignment="1">
      <alignment horizontal="center" vertical="center" wrapText="1"/>
    </xf>
    <xf numFmtId="0" fontId="28" fillId="7" borderId="59" xfId="0" applyFont="1" applyFill="1" applyBorder="1" applyAlignment="1">
      <alignment horizontal="center" vertical="center" wrapText="1"/>
    </xf>
    <xf numFmtId="0" fontId="16" fillId="7" borderId="54" xfId="0" applyFont="1" applyFill="1" applyBorder="1" applyAlignment="1">
      <alignment horizontal="center" vertical="center"/>
    </xf>
    <xf numFmtId="0" fontId="19" fillId="7" borderId="112" xfId="0" applyFont="1" applyFill="1" applyBorder="1" applyAlignment="1">
      <alignment horizontal="center" vertical="center" wrapText="1"/>
    </xf>
    <xf numFmtId="0" fontId="19" fillId="7" borderId="113" xfId="0" applyFont="1" applyFill="1" applyBorder="1" applyAlignment="1">
      <alignment horizontal="center" vertical="center" wrapText="1"/>
    </xf>
    <xf numFmtId="0" fontId="19" fillId="7" borderId="63" xfId="0" applyFont="1" applyFill="1" applyBorder="1" applyAlignment="1">
      <alignment horizontal="center" vertical="center" wrapText="1"/>
    </xf>
    <xf numFmtId="0" fontId="21" fillId="7" borderId="43" xfId="0" applyFont="1" applyFill="1" applyBorder="1" applyAlignment="1">
      <alignment horizontal="center" vertical="center" wrapText="1"/>
    </xf>
    <xf numFmtId="0" fontId="21" fillId="7" borderId="42" xfId="0" applyFont="1" applyFill="1" applyBorder="1" applyAlignment="1">
      <alignment horizontal="center" vertical="center" wrapText="1"/>
    </xf>
    <xf numFmtId="0" fontId="21" fillId="7" borderId="59" xfId="0" applyFont="1" applyFill="1" applyBorder="1" applyAlignment="1">
      <alignment horizontal="center" vertical="center" wrapText="1"/>
    </xf>
    <xf numFmtId="0" fontId="21" fillId="7" borderId="6" xfId="0" applyFont="1" applyFill="1" applyBorder="1" applyAlignment="1">
      <alignment horizontal="center" vertical="center" wrapText="1"/>
    </xf>
    <xf numFmtId="0" fontId="21" fillId="7" borderId="69" xfId="0" applyFont="1" applyFill="1" applyBorder="1" applyAlignment="1">
      <alignment horizontal="center" vertical="center" wrapText="1"/>
    </xf>
    <xf numFmtId="0" fontId="21" fillId="7" borderId="60" xfId="0" applyFont="1" applyFill="1" applyBorder="1" applyAlignment="1">
      <alignment horizontal="center" vertical="center" wrapText="1"/>
    </xf>
    <xf numFmtId="0" fontId="21" fillId="7" borderId="112" xfId="0" applyFont="1" applyFill="1" applyBorder="1" applyAlignment="1">
      <alignment horizontal="center" vertical="center" wrapText="1"/>
    </xf>
    <xf numFmtId="0" fontId="21" fillId="7" borderId="113" xfId="0" applyFont="1" applyFill="1" applyBorder="1" applyAlignment="1">
      <alignment horizontal="center" vertical="center" wrapText="1"/>
    </xf>
    <xf numFmtId="0" fontId="22" fillId="7" borderId="78" xfId="0" applyFont="1" applyFill="1" applyBorder="1" applyAlignment="1">
      <alignment horizontal="center" vertical="center" wrapText="1"/>
    </xf>
    <xf numFmtId="0" fontId="19" fillId="7" borderId="117" xfId="0" applyFont="1" applyFill="1" applyBorder="1" applyAlignment="1">
      <alignment horizontal="center" vertical="center" wrapText="1"/>
    </xf>
    <xf numFmtId="0" fontId="19" fillId="7" borderId="118" xfId="0" applyFont="1" applyFill="1" applyBorder="1" applyAlignment="1">
      <alignment horizontal="center" vertical="center" wrapText="1"/>
    </xf>
    <xf numFmtId="0" fontId="23" fillId="7" borderId="119" xfId="0" applyFont="1" applyFill="1" applyBorder="1" applyAlignment="1">
      <alignment horizontal="center" vertical="center" wrapText="1"/>
    </xf>
    <xf numFmtId="0" fontId="23" fillId="7" borderId="120" xfId="0" applyFont="1" applyFill="1" applyBorder="1" applyAlignment="1">
      <alignment horizontal="center" vertical="center" wrapText="1"/>
    </xf>
    <xf numFmtId="0" fontId="19" fillId="7" borderId="75" xfId="0" applyFont="1" applyFill="1" applyBorder="1" applyAlignment="1">
      <alignment horizontal="center" vertical="center" wrapText="1"/>
    </xf>
    <xf numFmtId="0" fontId="19" fillId="7" borderId="121" xfId="0" applyFont="1" applyFill="1" applyBorder="1" applyAlignment="1">
      <alignment horizontal="center" vertical="center" wrapText="1"/>
    </xf>
    <xf numFmtId="0" fontId="19" fillId="7" borderId="122" xfId="0" applyFont="1" applyFill="1" applyBorder="1" applyAlignment="1">
      <alignment horizontal="center" vertical="center" wrapText="1"/>
    </xf>
    <xf numFmtId="0" fontId="19" fillId="7" borderId="123" xfId="0" applyFont="1" applyFill="1" applyBorder="1" applyAlignment="1">
      <alignment horizontal="center" vertical="center" wrapText="1"/>
    </xf>
    <xf numFmtId="0" fontId="19" fillId="7" borderId="124" xfId="0" applyFont="1" applyFill="1" applyBorder="1" applyAlignment="1">
      <alignment horizontal="center" vertical="center" wrapText="1"/>
    </xf>
    <xf numFmtId="0" fontId="19" fillId="7" borderId="125" xfId="0" applyFont="1" applyFill="1" applyBorder="1" applyAlignment="1">
      <alignment horizontal="center" vertical="center" wrapText="1"/>
    </xf>
    <xf numFmtId="0" fontId="19" fillId="7" borderId="87" xfId="0" applyFont="1" applyFill="1" applyBorder="1" applyAlignment="1">
      <alignment horizontal="center" vertical="center" wrapText="1"/>
    </xf>
    <xf numFmtId="0" fontId="19" fillId="7" borderId="126" xfId="0" applyFont="1" applyFill="1" applyBorder="1" applyAlignment="1">
      <alignment horizontal="center" vertical="center" wrapText="1"/>
    </xf>
    <xf numFmtId="0" fontId="19" fillId="7" borderId="120" xfId="0" applyFont="1" applyFill="1" applyBorder="1" applyAlignment="1">
      <alignment horizontal="center" vertical="center" wrapText="1"/>
    </xf>
    <xf numFmtId="0" fontId="19" fillId="7" borderId="127" xfId="0" applyFont="1" applyFill="1" applyBorder="1" applyAlignment="1">
      <alignment horizontal="center" vertical="center" wrapText="1"/>
    </xf>
    <xf numFmtId="0" fontId="19" fillId="7" borderId="128" xfId="0" applyFont="1" applyFill="1" applyBorder="1" applyAlignment="1">
      <alignment horizontal="center" vertical="center" wrapText="1"/>
    </xf>
    <xf numFmtId="0" fontId="19" fillId="7" borderId="94" xfId="0" applyFont="1" applyFill="1" applyBorder="1" applyAlignment="1">
      <alignment horizontal="center" vertical="center" wrapText="1"/>
    </xf>
    <xf numFmtId="0" fontId="17" fillId="7" borderId="43" xfId="0" applyFont="1" applyFill="1" applyBorder="1" applyAlignment="1">
      <alignment horizontal="center" vertical="center" textRotation="90" wrapText="1"/>
    </xf>
    <xf numFmtId="0" fontId="22" fillId="7" borderId="0" xfId="0" applyFont="1" applyFill="1" applyAlignment="1">
      <alignment horizontal="center" vertical="center" wrapText="1"/>
    </xf>
    <xf numFmtId="0" fontId="22" fillId="4" borderId="0" xfId="0" applyFont="1" applyFill="1" applyAlignment="1">
      <alignment horizontal="center" vertical="center" wrapText="1"/>
    </xf>
    <xf numFmtId="0" fontId="19" fillId="4" borderId="132" xfId="0" applyFont="1" applyFill="1" applyBorder="1" applyAlignment="1">
      <alignment horizontal="center" vertical="center" wrapText="1"/>
    </xf>
    <xf numFmtId="0" fontId="19" fillId="4" borderId="133" xfId="0" applyFont="1" applyFill="1" applyBorder="1" applyAlignment="1">
      <alignment horizontal="center" vertical="center" wrapText="1"/>
    </xf>
    <xf numFmtId="0" fontId="22" fillId="4" borderId="136" xfId="0" applyFont="1" applyFill="1" applyBorder="1" applyAlignment="1">
      <alignment horizontal="center" vertical="center" wrapText="1"/>
    </xf>
    <xf numFmtId="0" fontId="29" fillId="4" borderId="6" xfId="0" applyFont="1" applyFill="1" applyBorder="1" applyAlignment="1">
      <alignment horizontal="center" vertical="center" wrapText="1"/>
    </xf>
    <xf numFmtId="0" fontId="29" fillId="4" borderId="42" xfId="0" applyFont="1" applyFill="1" applyBorder="1" applyAlignment="1">
      <alignment horizontal="center" vertical="center" wrapText="1"/>
    </xf>
    <xf numFmtId="0" fontId="29" fillId="4" borderId="60" xfId="0" applyFont="1" applyFill="1" applyBorder="1" applyAlignment="1">
      <alignment horizontal="center" vertical="center" wrapText="1"/>
    </xf>
    <xf numFmtId="0" fontId="29" fillId="4" borderId="139" xfId="0" applyFont="1" applyFill="1" applyBorder="1" applyAlignment="1">
      <alignment horizontal="center" vertical="center" wrapText="1"/>
    </xf>
    <xf numFmtId="0" fontId="29" fillId="4" borderId="5" xfId="0" applyFont="1" applyFill="1" applyBorder="1" applyAlignment="1">
      <alignment horizontal="center" vertical="center" wrapText="1"/>
    </xf>
    <xf numFmtId="0" fontId="19" fillId="4" borderId="141" xfId="0" applyFont="1" applyFill="1" applyBorder="1" applyAlignment="1">
      <alignment horizontal="center" vertical="center" wrapText="1"/>
    </xf>
    <xf numFmtId="0" fontId="19" fillId="4" borderId="75" xfId="0" applyFont="1" applyFill="1" applyBorder="1" applyAlignment="1">
      <alignment horizontal="center" vertical="center" wrapText="1"/>
    </xf>
    <xf numFmtId="0" fontId="19" fillId="4" borderId="123" xfId="0" applyFont="1" applyFill="1" applyBorder="1" applyAlignment="1">
      <alignment horizontal="center" vertical="center" wrapText="1"/>
    </xf>
    <xf numFmtId="0" fontId="19" fillId="7" borderId="143" xfId="0" applyFont="1" applyFill="1" applyBorder="1" applyAlignment="1">
      <alignment horizontal="center" vertical="center" wrapText="1"/>
    </xf>
    <xf numFmtId="0" fontId="23" fillId="7" borderId="143" xfId="0" applyFont="1" applyFill="1" applyBorder="1" applyAlignment="1">
      <alignment horizontal="center" vertical="center" wrapText="1"/>
    </xf>
    <xf numFmtId="0" fontId="31" fillId="7" borderId="143" xfId="0" applyFont="1" applyFill="1" applyBorder="1" applyAlignment="1">
      <alignment horizontal="center" vertical="center"/>
    </xf>
    <xf numFmtId="1" fontId="31" fillId="7" borderId="143" xfId="0" applyNumberFormat="1" applyFont="1" applyFill="1" applyBorder="1" applyAlignment="1">
      <alignment horizontal="center" vertical="center"/>
    </xf>
    <xf numFmtId="0" fontId="20" fillId="7" borderId="143" xfId="0" applyFont="1" applyFill="1" applyBorder="1" applyAlignment="1">
      <alignment horizontal="center" vertical="center" wrapText="1"/>
    </xf>
    <xf numFmtId="1" fontId="31" fillId="7" borderId="163" xfId="0" applyNumberFormat="1" applyFont="1" applyFill="1" applyBorder="1" applyAlignment="1">
      <alignment horizontal="center"/>
    </xf>
    <xf numFmtId="1" fontId="31" fillId="7" borderId="14" xfId="0" applyNumberFormat="1" applyFont="1" applyFill="1" applyBorder="1" applyAlignment="1">
      <alignment horizontal="center"/>
    </xf>
    <xf numFmtId="1" fontId="31" fillId="7" borderId="5" xfId="0" applyNumberFormat="1" applyFont="1" applyFill="1" applyBorder="1" applyAlignment="1">
      <alignment horizontal="center" vertical="center"/>
    </xf>
    <xf numFmtId="0" fontId="21" fillId="7" borderId="143"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5" fillId="3" borderId="6" xfId="0" applyFont="1" applyFill="1" applyBorder="1" applyAlignment="1">
      <alignment horizontal="center" vertical="center"/>
    </xf>
    <xf numFmtId="0" fontId="2" fillId="0" borderId="7" xfId="0" applyFont="1" applyBorder="1"/>
    <xf numFmtId="0" fontId="7" fillId="4" borderId="9" xfId="0" applyFont="1" applyFill="1" applyBorder="1" applyAlignment="1">
      <alignment horizontal="center" vertical="center"/>
    </xf>
    <xf numFmtId="0" fontId="2" fillId="0" borderId="11" xfId="0" applyFont="1" applyBorder="1"/>
    <xf numFmtId="0" fontId="2" fillId="0" borderId="13" xfId="0" applyFont="1" applyBorder="1"/>
    <xf numFmtId="0" fontId="7" fillId="4" borderId="10" xfId="0" applyFont="1" applyFill="1" applyBorder="1" applyAlignment="1">
      <alignment horizontal="center" vertical="center"/>
    </xf>
    <xf numFmtId="0" fontId="2" fillId="0" borderId="12" xfId="0" applyFont="1" applyBorder="1"/>
    <xf numFmtId="0" fontId="2" fillId="0" borderId="14" xfId="0" applyFont="1" applyBorder="1"/>
    <xf numFmtId="0" fontId="10" fillId="5" borderId="10" xfId="0" applyFont="1" applyFill="1" applyBorder="1" applyAlignment="1">
      <alignment horizontal="center" vertical="center"/>
    </xf>
    <xf numFmtId="0" fontId="7" fillId="5" borderId="10" xfId="0" applyFont="1" applyFill="1" applyBorder="1" applyAlignment="1">
      <alignment horizontal="center" vertical="center"/>
    </xf>
    <xf numFmtId="0" fontId="7" fillId="0" borderId="15" xfId="0" applyFont="1" applyBorder="1" applyAlignment="1">
      <alignment horizontal="center" vertical="center"/>
    </xf>
    <xf numFmtId="0" fontId="2" fillId="0" borderId="20" xfId="0" applyFont="1" applyBorder="1"/>
    <xf numFmtId="0" fontId="7" fillId="5" borderId="16" xfId="0" applyFont="1" applyFill="1" applyBorder="1" applyAlignment="1">
      <alignment horizontal="center" vertical="center"/>
    </xf>
    <xf numFmtId="0" fontId="2" fillId="0" borderId="21" xfId="0" applyFont="1" applyBorder="1"/>
    <xf numFmtId="0" fontId="7" fillId="5" borderId="9" xfId="0" applyFont="1" applyFill="1" applyBorder="1" applyAlignment="1">
      <alignment horizontal="center" vertical="center"/>
    </xf>
    <xf numFmtId="0" fontId="19" fillId="4" borderId="58" xfId="0" applyFont="1" applyFill="1" applyBorder="1" applyAlignment="1">
      <alignment horizontal="center" vertical="center" wrapText="1"/>
    </xf>
    <xf numFmtId="0" fontId="2" fillId="0" borderId="49" xfId="0" applyFont="1" applyBorder="1"/>
    <xf numFmtId="0" fontId="2" fillId="0" borderId="61" xfId="0" applyFont="1" applyBorder="1"/>
    <xf numFmtId="0" fontId="16" fillId="4" borderId="44" xfId="0" applyFont="1" applyFill="1" applyBorder="1" applyAlignment="1">
      <alignment horizontal="center" vertical="center" wrapText="1"/>
    </xf>
    <xf numFmtId="0" fontId="2" fillId="0" borderId="44" xfId="0" applyFont="1" applyBorder="1"/>
    <xf numFmtId="0" fontId="2" fillId="0" borderId="53" xfId="0" applyFont="1" applyBorder="1"/>
    <xf numFmtId="0" fontId="16" fillId="4" borderId="34" xfId="0" applyFont="1" applyFill="1" applyBorder="1" applyAlignment="1">
      <alignment horizontal="center" vertical="center" wrapText="1"/>
    </xf>
    <xf numFmtId="0" fontId="2" fillId="0" borderId="34" xfId="0" applyFont="1" applyBorder="1"/>
    <xf numFmtId="0" fontId="16" fillId="4" borderId="57" xfId="0" applyFont="1" applyFill="1" applyBorder="1" applyAlignment="1">
      <alignment horizontal="center" vertical="center" wrapText="1"/>
    </xf>
    <xf numFmtId="0" fontId="2" fillId="0" borderId="50" xfId="0" applyFont="1" applyBorder="1"/>
    <xf numFmtId="0" fontId="22" fillId="4" borderId="45" xfId="0" applyFont="1" applyFill="1" applyBorder="1" applyAlignment="1">
      <alignment horizontal="center" vertical="center" wrapText="1"/>
    </xf>
    <xf numFmtId="0" fontId="2" fillId="0" borderId="48" xfId="0" applyFont="1" applyBorder="1"/>
    <xf numFmtId="0" fontId="2" fillId="0" borderId="55" xfId="0" applyFont="1" applyBorder="1"/>
    <xf numFmtId="0" fontId="16" fillId="7" borderId="34" xfId="0" applyFont="1" applyFill="1" applyBorder="1" applyAlignment="1">
      <alignment horizontal="center" vertical="center" wrapText="1"/>
    </xf>
    <xf numFmtId="0" fontId="2" fillId="0" borderId="54" xfId="0" applyFont="1" applyBorder="1"/>
    <xf numFmtId="0" fontId="16" fillId="7" borderId="57" xfId="0" applyFont="1" applyFill="1" applyBorder="1" applyAlignment="1">
      <alignment horizontal="center" vertical="center" wrapText="1"/>
    </xf>
    <xf numFmtId="0" fontId="19" fillId="7" borderId="49" xfId="0" applyFont="1" applyFill="1" applyBorder="1" applyAlignment="1">
      <alignment horizontal="center" vertical="center" wrapText="1"/>
    </xf>
    <xf numFmtId="0" fontId="2" fillId="0" borderId="56" xfId="0" applyFont="1" applyBorder="1"/>
    <xf numFmtId="0" fontId="19" fillId="7" borderId="58" xfId="0" applyFont="1" applyFill="1" applyBorder="1" applyAlignment="1">
      <alignment horizontal="center" vertical="center" wrapText="1"/>
    </xf>
    <xf numFmtId="0" fontId="22" fillId="7" borderId="48" xfId="0" applyFont="1" applyFill="1" applyBorder="1" applyAlignment="1">
      <alignment horizontal="center" vertical="center" wrapText="1"/>
    </xf>
    <xf numFmtId="0" fontId="2" fillId="0" borderId="78" xfId="0" applyFont="1" applyBorder="1"/>
    <xf numFmtId="0" fontId="22" fillId="7" borderId="45" xfId="0" applyFont="1" applyFill="1" applyBorder="1" applyAlignment="1">
      <alignment horizontal="center" vertical="center" wrapText="1"/>
    </xf>
    <xf numFmtId="0" fontId="2" fillId="0" borderId="87" xfId="0" applyFont="1" applyBorder="1"/>
    <xf numFmtId="0" fontId="2" fillId="0" borderId="86" xfId="0" applyFont="1" applyBorder="1"/>
    <xf numFmtId="0" fontId="16" fillId="7" borderId="90" xfId="0" applyFont="1" applyFill="1" applyBorder="1" applyAlignment="1">
      <alignment horizontal="center" vertical="center" wrapText="1"/>
    </xf>
    <xf numFmtId="0" fontId="16" fillId="7" borderId="104" xfId="0" applyFont="1" applyFill="1" applyBorder="1" applyAlignment="1">
      <alignment horizontal="center" vertical="center" wrapText="1"/>
    </xf>
    <xf numFmtId="0" fontId="16" fillId="7" borderId="90" xfId="0" applyFont="1" applyFill="1" applyBorder="1" applyAlignment="1">
      <alignment horizontal="center" vertical="center"/>
    </xf>
    <xf numFmtId="0" fontId="2" fillId="0" borderId="92" xfId="0" applyFont="1" applyBorder="1"/>
    <xf numFmtId="0" fontId="16" fillId="7" borderId="44" xfId="0" applyFont="1" applyFill="1" applyBorder="1" applyAlignment="1">
      <alignment horizontal="center" vertical="center" wrapText="1"/>
    </xf>
    <xf numFmtId="0" fontId="22" fillId="4" borderId="48" xfId="0" applyFont="1" applyFill="1" applyBorder="1" applyAlignment="1">
      <alignment horizontal="center" vertical="center" wrapText="1"/>
    </xf>
    <xf numFmtId="0" fontId="2" fillId="0" borderId="63" xfId="0" applyFont="1" applyBorder="1"/>
    <xf numFmtId="0" fontId="19" fillId="4" borderId="105" xfId="0" applyFont="1" applyFill="1" applyBorder="1" applyAlignment="1">
      <alignment horizontal="center" vertical="center" wrapText="1"/>
    </xf>
    <xf numFmtId="0" fontId="2" fillId="0" borderId="105" xfId="0" applyFont="1" applyBorder="1"/>
    <xf numFmtId="0" fontId="16" fillId="7" borderId="10" xfId="0" applyFont="1" applyFill="1" applyBorder="1" applyAlignment="1">
      <alignment horizontal="center" vertical="center"/>
    </xf>
    <xf numFmtId="0" fontId="18" fillId="7" borderId="57" xfId="0" applyFont="1" applyFill="1" applyBorder="1" applyAlignment="1">
      <alignment horizontal="center" vertical="center" wrapText="1"/>
    </xf>
    <xf numFmtId="0" fontId="19" fillId="7" borderId="91" xfId="0" applyFont="1" applyFill="1" applyBorder="1" applyAlignment="1">
      <alignment horizontal="center" vertical="center" wrapText="1"/>
    </xf>
    <xf numFmtId="0" fontId="2" fillId="0" borderId="94" xfId="0" applyFont="1" applyBorder="1"/>
    <xf numFmtId="0" fontId="17" fillId="7" borderId="57" xfId="0" applyFont="1" applyFill="1" applyBorder="1" applyAlignment="1">
      <alignment horizontal="center" vertical="center" wrapText="1"/>
    </xf>
    <xf numFmtId="165" fontId="18" fillId="7" borderId="57" xfId="0" applyNumberFormat="1" applyFont="1" applyFill="1" applyBorder="1" applyAlignment="1">
      <alignment horizontal="center" vertical="center" wrapText="1"/>
    </xf>
    <xf numFmtId="0" fontId="19" fillId="4" borderId="49" xfId="0" applyFont="1" applyFill="1" applyBorder="1" applyAlignment="1">
      <alignment horizontal="center" vertical="center" wrapText="1"/>
    </xf>
    <xf numFmtId="0" fontId="16" fillId="4" borderId="34" xfId="0" applyFont="1" applyFill="1" applyBorder="1" applyAlignment="1">
      <alignment horizontal="left" vertical="center" wrapText="1"/>
    </xf>
    <xf numFmtId="0" fontId="19" fillId="7" borderId="116" xfId="0" applyFont="1" applyFill="1" applyBorder="1" applyAlignment="1">
      <alignment horizontal="center" vertical="center" wrapText="1"/>
    </xf>
    <xf numFmtId="0" fontId="16" fillId="7" borderId="115" xfId="0" applyFont="1" applyFill="1" applyBorder="1" applyAlignment="1">
      <alignment horizontal="center" vertical="center" wrapText="1"/>
    </xf>
    <xf numFmtId="0" fontId="17" fillId="4" borderId="34" xfId="0" applyFont="1" applyFill="1" applyBorder="1" applyAlignment="1">
      <alignment horizontal="center" vertical="center" wrapText="1"/>
    </xf>
    <xf numFmtId="0" fontId="17" fillId="7" borderId="90" xfId="0" applyFont="1" applyFill="1" applyBorder="1" applyAlignment="1">
      <alignment horizontal="center" vertical="center" wrapText="1"/>
    </xf>
    <xf numFmtId="0" fontId="17" fillId="7" borderId="34" xfId="0" applyFont="1" applyFill="1" applyBorder="1" applyAlignment="1">
      <alignment horizontal="center" vertical="center" wrapText="1"/>
    </xf>
    <xf numFmtId="0" fontId="17" fillId="7" borderId="114" xfId="0" applyFont="1" applyFill="1" applyBorder="1" applyAlignment="1">
      <alignment horizontal="center" vertical="center" wrapText="1"/>
    </xf>
    <xf numFmtId="0" fontId="17" fillId="4" borderId="57" xfId="0" applyFont="1" applyFill="1" applyBorder="1" applyAlignment="1">
      <alignment horizontal="center" vertical="center" wrapText="1"/>
    </xf>
    <xf numFmtId="0" fontId="7" fillId="7" borderId="72" xfId="0" applyFont="1" applyFill="1" applyBorder="1" applyAlignment="1">
      <alignment horizontal="center" vertical="center" textRotation="90" wrapText="1"/>
    </xf>
    <xf numFmtId="0" fontId="2" fillId="0" borderId="72" xfId="0" applyFont="1" applyBorder="1"/>
    <xf numFmtId="0" fontId="2" fillId="0" borderId="100" xfId="0" applyFont="1" applyBorder="1"/>
    <xf numFmtId="0" fontId="2" fillId="0" borderId="131" xfId="0" applyFont="1" applyBorder="1"/>
    <xf numFmtId="0" fontId="7" fillId="4" borderId="130" xfId="0" applyFont="1" applyFill="1" applyBorder="1" applyAlignment="1">
      <alignment horizontal="center" vertical="center" textRotation="90" wrapText="1"/>
    </xf>
    <xf numFmtId="0" fontId="2" fillId="0" borderId="107" xfId="0" applyFont="1" applyBorder="1"/>
    <xf numFmtId="0" fontId="17" fillId="7" borderId="147" xfId="0" applyFont="1" applyFill="1" applyBorder="1" applyAlignment="1">
      <alignment horizontal="center" vertical="center" wrapText="1"/>
    </xf>
    <xf numFmtId="0" fontId="2" fillId="0" borderId="155" xfId="0" applyFont="1" applyBorder="1"/>
    <xf numFmtId="0" fontId="30" fillId="7" borderId="159" xfId="0" applyFont="1" applyFill="1" applyBorder="1" applyAlignment="1">
      <alignment horizontal="center" vertical="center" wrapText="1"/>
    </xf>
    <xf numFmtId="0" fontId="17" fillId="7" borderId="159" xfId="0" applyFont="1" applyFill="1" applyBorder="1" applyAlignment="1">
      <alignment horizontal="center" vertical="center" wrapText="1"/>
    </xf>
    <xf numFmtId="0" fontId="2" fillId="0" borderId="168" xfId="0" applyFont="1" applyBorder="1"/>
    <xf numFmtId="0" fontId="7" fillId="7" borderId="34" xfId="0" applyFont="1" applyFill="1" applyBorder="1" applyAlignment="1">
      <alignment horizontal="center" vertical="center" textRotation="90" wrapText="1"/>
    </xf>
    <xf numFmtId="0" fontId="17" fillId="7" borderId="48" xfId="0" applyFont="1" applyFill="1" applyBorder="1" applyAlignment="1">
      <alignment horizontal="center" vertical="center" wrapText="1"/>
    </xf>
    <xf numFmtId="0" fontId="2" fillId="0" borderId="145" xfId="0" applyFont="1" applyBorder="1"/>
    <xf numFmtId="0" fontId="2" fillId="0" borderId="30" xfId="0" applyFont="1" applyBorder="1"/>
    <xf numFmtId="0" fontId="2" fillId="0" borderId="31" xfId="0" applyFont="1" applyBorder="1"/>
    <xf numFmtId="0" fontId="12" fillId="3" borderId="23" xfId="0" applyFont="1" applyFill="1" applyBorder="1" applyAlignment="1">
      <alignment horizontal="center" vertical="center" wrapText="1"/>
    </xf>
    <xf numFmtId="0" fontId="2" fillId="0" borderId="38" xfId="0" applyFont="1" applyBorder="1"/>
    <xf numFmtId="0" fontId="7" fillId="4" borderId="40" xfId="0" applyFont="1" applyFill="1" applyBorder="1" applyAlignment="1">
      <alignment horizontal="center" vertical="center" textRotation="90" wrapText="1"/>
    </xf>
    <xf numFmtId="0" fontId="2" fillId="0" borderId="138" xfId="0" applyFont="1" applyBorder="1"/>
    <xf numFmtId="0" fontId="22" fillId="4" borderId="137" xfId="0" applyFont="1" applyFill="1" applyBorder="1" applyAlignment="1">
      <alignment horizontal="center" vertical="center" wrapText="1"/>
    </xf>
    <xf numFmtId="0" fontId="2" fillId="0" borderId="137" xfId="0" applyFont="1" applyBorder="1"/>
    <xf numFmtId="0" fontId="2" fillId="0" borderId="142" xfId="0" applyFont="1" applyBorder="1"/>
    <xf numFmtId="0" fontId="2" fillId="0" borderId="134" xfId="0" applyFont="1" applyBorder="1"/>
    <xf numFmtId="0" fontId="2" fillId="0" borderId="135" xfId="0" applyFont="1" applyBorder="1"/>
    <xf numFmtId="0" fontId="2" fillId="0" borderId="140" xfId="0" applyFont="1" applyBorder="1"/>
    <xf numFmtId="0" fontId="21" fillId="7" borderId="48" xfId="0" applyFont="1" applyFill="1" applyBorder="1" applyAlignment="1">
      <alignment horizontal="center" vertical="center" wrapText="1"/>
    </xf>
    <xf numFmtId="0" fontId="2" fillId="0" borderId="144" xfId="0" applyFont="1" applyBorder="1"/>
    <xf numFmtId="0" fontId="16" fillId="7" borderId="148" xfId="0" applyFont="1" applyFill="1" applyBorder="1" applyAlignment="1">
      <alignment horizontal="center" vertical="center" wrapText="1"/>
    </xf>
    <xf numFmtId="0" fontId="2" fillId="0" borderId="152" xfId="0" applyFont="1" applyBorder="1"/>
    <xf numFmtId="0" fontId="21" fillId="7" borderId="149" xfId="0" applyFont="1" applyFill="1" applyBorder="1" applyAlignment="1">
      <alignment horizontal="center" vertical="center" wrapText="1"/>
    </xf>
    <xf numFmtId="0" fontId="2" fillId="0" borderId="149" xfId="0" applyFont="1" applyBorder="1"/>
    <xf numFmtId="0" fontId="2" fillId="0" borderId="156" xfId="0" applyFont="1" applyBorder="1"/>
    <xf numFmtId="0" fontId="19" fillId="7" borderId="150" xfId="0" applyFont="1" applyFill="1" applyBorder="1" applyAlignment="1">
      <alignment horizontal="center" vertical="center" wrapText="1"/>
    </xf>
    <xf numFmtId="0" fontId="2" fillId="0" borderId="106" xfId="0" applyFont="1" applyBorder="1"/>
    <xf numFmtId="0" fontId="2" fillId="0" borderId="157" xfId="0" applyFont="1" applyBorder="1"/>
    <xf numFmtId="0" fontId="2" fillId="0" borderId="154" xfId="0" applyFont="1" applyBorder="1"/>
    <xf numFmtId="0" fontId="16" fillId="7" borderId="160" xfId="0" applyFont="1" applyFill="1" applyBorder="1" applyAlignment="1">
      <alignment horizontal="center" vertical="center" wrapText="1"/>
    </xf>
    <xf numFmtId="0" fontId="2" fillId="0" borderId="161" xfId="0" applyFont="1" applyBorder="1"/>
    <xf numFmtId="0" fontId="2" fillId="0" borderId="162" xfId="0" applyFont="1" applyBorder="1"/>
    <xf numFmtId="0" fontId="19" fillId="7" borderId="151" xfId="0" applyFont="1" applyFill="1" applyBorder="1" applyAlignment="1">
      <alignment horizontal="center" vertical="center" wrapText="1"/>
    </xf>
    <xf numFmtId="0" fontId="2" fillId="0" borderId="153" xfId="0" applyFont="1" applyBorder="1"/>
    <xf numFmtId="0" fontId="2" fillId="0" borderId="158" xfId="0" applyFont="1" applyBorder="1"/>
    <xf numFmtId="0" fontId="19" fillId="7" borderId="148" xfId="0" applyFont="1" applyFill="1" applyBorder="1" applyAlignment="1">
      <alignment horizontal="center" vertical="center" wrapText="1"/>
    </xf>
    <xf numFmtId="0" fontId="21" fillId="7" borderId="165" xfId="0" applyFont="1" applyFill="1" applyBorder="1" applyAlignment="1">
      <alignment horizontal="center" vertical="center" wrapText="1"/>
    </xf>
    <xf numFmtId="0" fontId="2" fillId="0" borderId="166" xfId="0" applyFont="1" applyBorder="1"/>
    <xf numFmtId="0" fontId="19" fillId="7" borderId="106" xfId="0" applyFont="1" applyFill="1" applyBorder="1" applyAlignment="1">
      <alignment horizontal="center" vertical="center" wrapText="1"/>
    </xf>
    <xf numFmtId="0" fontId="2" fillId="0" borderId="169" xfId="0" applyFont="1" applyBorder="1"/>
    <xf numFmtId="0" fontId="16" fillId="7" borderId="151" xfId="0" applyFont="1" applyFill="1" applyBorder="1" applyAlignment="1">
      <alignment horizontal="center" vertical="center" wrapText="1"/>
    </xf>
    <xf numFmtId="0" fontId="16" fillId="7" borderId="167" xfId="0" applyFont="1" applyFill="1" applyBorder="1" applyAlignment="1">
      <alignment horizontal="center" vertical="center" wrapText="1"/>
    </xf>
    <xf numFmtId="0" fontId="2" fillId="0" borderId="129" xfId="0" applyFont="1" applyBorder="1"/>
    <xf numFmtId="0" fontId="19" fillId="4" borderId="46" xfId="0" applyFont="1" applyFill="1" applyBorder="1" applyAlignment="1">
      <alignment horizontal="center" vertical="center" wrapText="1"/>
    </xf>
    <xf numFmtId="49" fontId="16" fillId="6" borderId="24" xfId="0" applyNumberFormat="1" applyFont="1" applyFill="1" applyBorder="1" applyAlignment="1">
      <alignment horizontal="center" vertical="center" wrapText="1"/>
    </xf>
    <xf numFmtId="0" fontId="14" fillId="3" borderId="33" xfId="0" applyFont="1" applyFill="1" applyBorder="1" applyAlignment="1">
      <alignment horizontal="center" vertical="center" wrapText="1"/>
    </xf>
    <xf numFmtId="0" fontId="2" fillId="0" borderId="35" xfId="0" applyFont="1" applyBorder="1"/>
    <xf numFmtId="0" fontId="20" fillId="4" borderId="34" xfId="0" applyFont="1" applyFill="1" applyBorder="1" applyAlignment="1">
      <alignment horizontal="center" vertical="center" wrapText="1"/>
    </xf>
    <xf numFmtId="0" fontId="21" fillId="4" borderId="34" xfId="0" applyFont="1" applyFill="1" applyBorder="1" applyAlignment="1">
      <alignment horizontal="center" vertical="center" wrapText="1"/>
    </xf>
    <xf numFmtId="0" fontId="22" fillId="4" borderId="34" xfId="0" applyFont="1" applyFill="1" applyBorder="1" applyAlignment="1">
      <alignment horizontal="center" vertical="center" wrapText="1"/>
    </xf>
    <xf numFmtId="0" fontId="15" fillId="3" borderId="25" xfId="0" applyFont="1" applyFill="1" applyBorder="1" applyAlignment="1">
      <alignment horizontal="center" vertical="center" wrapText="1"/>
    </xf>
    <xf numFmtId="0" fontId="2" fillId="0" borderId="36" xfId="0" applyFont="1" applyBorder="1"/>
    <xf numFmtId="0" fontId="15" fillId="3" borderId="24" xfId="0" applyFont="1" applyFill="1" applyBorder="1" applyAlignment="1">
      <alignment horizontal="center" vertical="center" wrapText="1"/>
    </xf>
    <xf numFmtId="0" fontId="2" fillId="0" borderId="37" xfId="0" applyFont="1" applyBorder="1"/>
    <xf numFmtId="0" fontId="15" fillId="3" borderId="23" xfId="0" applyFont="1" applyFill="1" applyBorder="1" applyAlignment="1">
      <alignment horizontal="center" vertical="center" wrapText="1"/>
    </xf>
    <xf numFmtId="0" fontId="2" fillId="0" borderId="29" xfId="0" applyFont="1" applyBorder="1"/>
    <xf numFmtId="0" fontId="12" fillId="3" borderId="23" xfId="0" applyFont="1" applyFill="1" applyBorder="1" applyAlignment="1">
      <alignment horizontal="center" vertical="center" textRotation="90" wrapText="1"/>
    </xf>
    <xf numFmtId="0" fontId="13" fillId="6" borderId="26" xfId="0" applyFont="1" applyFill="1" applyBorder="1" applyAlignment="1">
      <alignment horizontal="center" vertical="center" wrapText="1"/>
    </xf>
    <xf numFmtId="0" fontId="2" fillId="0" borderId="27" xfId="0" applyFont="1" applyBorder="1"/>
    <xf numFmtId="0" fontId="2" fillId="0" borderId="28" xfId="0" applyFont="1" applyBorder="1"/>
    <xf numFmtId="0" fontId="14" fillId="3" borderId="27" xfId="0" applyFont="1" applyFill="1" applyBorder="1" applyAlignment="1">
      <alignment horizontal="center" vertical="center" wrapText="1"/>
    </xf>
    <xf numFmtId="0" fontId="15" fillId="3" borderId="32" xfId="0" applyFont="1" applyFill="1" applyBorder="1" applyAlignment="1">
      <alignment horizontal="center" vertical="center" wrapText="1"/>
    </xf>
    <xf numFmtId="0" fontId="2" fillId="0" borderId="39" xfId="0" applyFont="1" applyBorder="1"/>
    <xf numFmtId="0" fontId="15" fillId="3" borderId="33" xfId="0" applyFont="1" applyFill="1" applyBorder="1" applyAlignment="1">
      <alignment horizontal="center" vertical="center" wrapText="1"/>
    </xf>
    <xf numFmtId="0" fontId="2" fillId="0" borderId="33" xfId="0" applyFont="1" applyBorder="1"/>
    <xf numFmtId="0" fontId="16" fillId="4" borderId="64" xfId="0" applyFont="1" applyFill="1" applyBorder="1" applyAlignment="1">
      <alignment horizontal="center" vertical="center" wrapText="1"/>
    </xf>
    <xf numFmtId="0" fontId="2" fillId="0" borderId="68" xfId="0" applyFont="1" applyBorder="1"/>
    <xf numFmtId="166" fontId="17" fillId="4" borderId="57" xfId="0" applyNumberFormat="1" applyFont="1" applyFill="1" applyBorder="1" applyAlignment="1">
      <alignment horizontal="center" vertical="center" wrapText="1"/>
    </xf>
    <xf numFmtId="0" fontId="0" fillId="0" borderId="0" xfId="0"/>
    <xf numFmtId="0" fontId="17" fillId="7" borderId="115" xfId="0" applyFont="1" applyFill="1" applyBorder="1" applyAlignment="1">
      <alignment horizontal="center" vertical="center" wrapText="1"/>
    </xf>
    <xf numFmtId="0" fontId="27" fillId="4" borderId="72" xfId="0" applyFont="1" applyFill="1" applyBorder="1" applyAlignment="1">
      <alignment horizontal="center" vertical="center" textRotation="90" wrapText="1"/>
    </xf>
    <xf numFmtId="0" fontId="17" fillId="7" borderId="90" xfId="0" applyFont="1" applyFill="1" applyBorder="1" applyAlignment="1">
      <alignment horizontal="center" vertical="center" textRotation="90" wrapText="1"/>
    </xf>
    <xf numFmtId="0" fontId="22" fillId="7" borderId="114" xfId="0" applyFont="1" applyFill="1" applyBorder="1" applyAlignment="1">
      <alignment horizontal="center" vertical="center" wrapText="1"/>
    </xf>
    <xf numFmtId="0" fontId="22" fillId="4" borderId="0" xfId="0" applyFont="1" applyFill="1" applyAlignment="1">
      <alignment horizontal="center" vertical="center" wrapText="1"/>
    </xf>
    <xf numFmtId="0" fontId="2" fillId="0" borderId="136" xfId="0" applyFont="1" applyBorder="1"/>
    <xf numFmtId="0" fontId="26" fillId="4" borderId="49" xfId="0" applyFont="1" applyFill="1" applyBorder="1" applyAlignment="1">
      <alignment horizontal="center" vertical="center" wrapText="1"/>
    </xf>
    <xf numFmtId="0" fontId="16" fillId="7" borderId="0" xfId="0" applyFont="1" applyFill="1" applyAlignment="1">
      <alignment horizontal="center" vertical="center" wrapText="1"/>
    </xf>
    <xf numFmtId="0" fontId="2" fillId="0" borderId="43" xfId="0" applyFont="1" applyBorder="1"/>
    <xf numFmtId="0" fontId="2" fillId="0" borderId="146" xfId="0" applyFont="1" applyBorder="1"/>
    <xf numFmtId="0" fontId="16" fillId="7" borderId="16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rightToLeft="1" workbookViewId="0">
      <selection sqref="A1:H1"/>
    </sheetView>
  </sheetViews>
  <sheetFormatPr defaultColWidth="12.5703125" defaultRowHeight="15" customHeight="1"/>
  <cols>
    <col min="1" max="1" width="22.28515625" customWidth="1"/>
    <col min="2" max="2" width="48.7109375" customWidth="1"/>
    <col min="3" max="3" width="23.28515625" customWidth="1"/>
    <col min="4" max="4" width="42.42578125" customWidth="1"/>
    <col min="5" max="5" width="42.85546875" customWidth="1"/>
    <col min="6" max="6" width="22.140625" customWidth="1"/>
    <col min="7" max="7" width="44.140625" customWidth="1"/>
    <col min="8" max="8" width="29.42578125" customWidth="1"/>
  </cols>
  <sheetData>
    <row r="1" spans="1:8" ht="56.25" customHeight="1">
      <c r="A1" s="205" t="s">
        <v>0</v>
      </c>
      <c r="B1" s="206"/>
      <c r="C1" s="206"/>
      <c r="D1" s="206"/>
      <c r="E1" s="206"/>
      <c r="F1" s="206"/>
      <c r="G1" s="206"/>
      <c r="H1" s="207"/>
    </row>
    <row r="2" spans="1:8" ht="15.75" customHeight="1">
      <c r="A2" s="1" t="s">
        <v>1</v>
      </c>
      <c r="B2" s="2" t="s">
        <v>2</v>
      </c>
      <c r="C2" s="3" t="s">
        <v>3</v>
      </c>
      <c r="D2" s="4" t="s">
        <v>4</v>
      </c>
      <c r="E2" s="5" t="s">
        <v>5</v>
      </c>
      <c r="F2" s="3" t="s">
        <v>3</v>
      </c>
      <c r="G2" s="208" t="s">
        <v>6</v>
      </c>
      <c r="H2" s="209"/>
    </row>
    <row r="3" spans="1:8" ht="64.5" customHeight="1">
      <c r="A3" s="6" t="s">
        <v>7</v>
      </c>
      <c r="B3" s="7" t="s">
        <v>8</v>
      </c>
      <c r="C3" s="7">
        <v>1007740852</v>
      </c>
      <c r="D3" s="8" t="s">
        <v>9</v>
      </c>
      <c r="E3" s="7"/>
      <c r="F3" s="7"/>
      <c r="G3" s="7"/>
      <c r="H3" s="9"/>
    </row>
    <row r="4" spans="1:8" ht="15.75" customHeight="1">
      <c r="A4" s="210" t="s">
        <v>10</v>
      </c>
      <c r="B4" s="213" t="s">
        <v>11</v>
      </c>
      <c r="C4" s="213">
        <v>1225220023</v>
      </c>
      <c r="D4" s="11" t="s">
        <v>12</v>
      </c>
      <c r="E4" s="12" t="s">
        <v>13</v>
      </c>
      <c r="F4" s="12">
        <v>1003391840</v>
      </c>
      <c r="G4" s="12" t="s">
        <v>14</v>
      </c>
      <c r="H4" s="13">
        <v>1201285350</v>
      </c>
    </row>
    <row r="5" spans="1:8" ht="15.75" customHeight="1">
      <c r="A5" s="211"/>
      <c r="B5" s="214"/>
      <c r="C5" s="214"/>
      <c r="D5" s="11" t="s">
        <v>15</v>
      </c>
      <c r="E5" s="12" t="s">
        <v>16</v>
      </c>
      <c r="F5" s="12">
        <v>1288925407</v>
      </c>
      <c r="G5" s="12" t="s">
        <v>17</v>
      </c>
      <c r="H5" s="13">
        <v>1228632075</v>
      </c>
    </row>
    <row r="6" spans="1:8" ht="15.75" customHeight="1">
      <c r="A6" s="211"/>
      <c r="B6" s="214"/>
      <c r="C6" s="214"/>
      <c r="D6" s="11" t="s">
        <v>18</v>
      </c>
      <c r="E6" s="12" t="s">
        <v>19</v>
      </c>
      <c r="F6" s="12">
        <v>1271404404</v>
      </c>
      <c r="G6" s="12" t="s">
        <v>20</v>
      </c>
      <c r="H6" s="13">
        <v>1211499602</v>
      </c>
    </row>
    <row r="7" spans="1:8" ht="15.75" customHeight="1">
      <c r="A7" s="211"/>
      <c r="B7" s="214"/>
      <c r="C7" s="214"/>
      <c r="D7" s="11" t="s">
        <v>21</v>
      </c>
      <c r="E7" s="12"/>
      <c r="F7" s="12"/>
      <c r="G7" s="12"/>
      <c r="H7" s="14"/>
    </row>
    <row r="8" spans="1:8" ht="15.75" customHeight="1">
      <c r="A8" s="211"/>
      <c r="B8" s="214"/>
      <c r="C8" s="214"/>
      <c r="D8" s="11" t="s">
        <v>22</v>
      </c>
      <c r="E8" s="12" t="s">
        <v>23</v>
      </c>
      <c r="F8" s="12">
        <v>1027696612</v>
      </c>
      <c r="G8" s="12" t="s">
        <v>24</v>
      </c>
      <c r="H8" s="13">
        <v>1000215667</v>
      </c>
    </row>
    <row r="9" spans="1:8" ht="15.75" customHeight="1">
      <c r="A9" s="212"/>
      <c r="B9" s="215"/>
      <c r="C9" s="215"/>
      <c r="D9" s="11" t="s">
        <v>25</v>
      </c>
      <c r="E9" s="12" t="s">
        <v>26</v>
      </c>
      <c r="F9" s="12">
        <v>1004773203</v>
      </c>
      <c r="G9" s="12" t="s">
        <v>27</v>
      </c>
      <c r="H9" s="13"/>
    </row>
    <row r="10" spans="1:8" ht="15.75" customHeight="1">
      <c r="A10" s="222" t="s">
        <v>28</v>
      </c>
      <c r="B10" s="216" t="s">
        <v>29</v>
      </c>
      <c r="C10" s="217">
        <v>1099165707</v>
      </c>
      <c r="D10" s="15" t="s">
        <v>30</v>
      </c>
      <c r="E10" s="16" t="s">
        <v>31</v>
      </c>
      <c r="F10" s="16">
        <v>1006030455</v>
      </c>
      <c r="G10" s="16" t="s">
        <v>32</v>
      </c>
      <c r="H10" s="17">
        <v>1026221260</v>
      </c>
    </row>
    <row r="11" spans="1:8" ht="15.75" customHeight="1">
      <c r="A11" s="211"/>
      <c r="B11" s="214"/>
      <c r="C11" s="214"/>
      <c r="D11" s="15" t="s">
        <v>33</v>
      </c>
      <c r="E11" s="16" t="s">
        <v>34</v>
      </c>
      <c r="F11" s="16">
        <v>1006049587</v>
      </c>
      <c r="G11" s="16" t="s">
        <v>35</v>
      </c>
      <c r="H11" s="17">
        <v>1068880999</v>
      </c>
    </row>
    <row r="12" spans="1:8" ht="15.75" customHeight="1">
      <c r="A12" s="211"/>
      <c r="B12" s="214"/>
      <c r="C12" s="214"/>
      <c r="D12" s="15" t="s">
        <v>36</v>
      </c>
      <c r="E12" s="16" t="s">
        <v>37</v>
      </c>
      <c r="F12" s="16">
        <v>1032000285</v>
      </c>
      <c r="G12" s="18" t="s">
        <v>38</v>
      </c>
      <c r="H12" s="17">
        <v>1005473226</v>
      </c>
    </row>
    <row r="13" spans="1:8" ht="15.75" customHeight="1">
      <c r="A13" s="211"/>
      <c r="B13" s="214"/>
      <c r="C13" s="214"/>
      <c r="D13" s="15" t="s">
        <v>39</v>
      </c>
      <c r="E13" s="16" t="s">
        <v>40</v>
      </c>
      <c r="F13" s="16">
        <v>1004471662</v>
      </c>
      <c r="G13" s="16" t="s">
        <v>41</v>
      </c>
      <c r="H13" s="17">
        <v>1014615717</v>
      </c>
    </row>
    <row r="14" spans="1:8" ht="15.75" customHeight="1">
      <c r="A14" s="211"/>
      <c r="B14" s="214"/>
      <c r="C14" s="214"/>
      <c r="D14" s="15" t="s">
        <v>42</v>
      </c>
      <c r="E14" s="16" t="s">
        <v>43</v>
      </c>
      <c r="F14" s="16">
        <v>1000478283</v>
      </c>
      <c r="G14" s="16" t="s">
        <v>44</v>
      </c>
      <c r="H14" s="17">
        <v>1028265993</v>
      </c>
    </row>
    <row r="15" spans="1:8" ht="15.75" customHeight="1">
      <c r="A15" s="211"/>
      <c r="B15" s="214"/>
      <c r="C15" s="214"/>
      <c r="D15" s="15" t="s">
        <v>45</v>
      </c>
      <c r="E15" s="16" t="s">
        <v>46</v>
      </c>
      <c r="F15" s="16">
        <v>1278710230</v>
      </c>
      <c r="G15" s="16" t="s">
        <v>47</v>
      </c>
      <c r="H15" s="17">
        <v>1004850205</v>
      </c>
    </row>
    <row r="16" spans="1:8" ht="15.75" customHeight="1">
      <c r="A16" s="212"/>
      <c r="B16" s="215"/>
      <c r="C16" s="215"/>
      <c r="D16" s="15" t="s">
        <v>48</v>
      </c>
      <c r="E16" s="16" t="s">
        <v>49</v>
      </c>
      <c r="F16" s="16">
        <v>1033933925</v>
      </c>
      <c r="G16" s="16" t="s">
        <v>50</v>
      </c>
      <c r="H16" s="17">
        <v>1010686270</v>
      </c>
    </row>
    <row r="17" spans="1:8" ht="15.75" customHeight="1">
      <c r="A17" s="210" t="s">
        <v>51</v>
      </c>
      <c r="B17" s="213" t="s">
        <v>52</v>
      </c>
      <c r="C17" s="213">
        <v>1282011811</v>
      </c>
      <c r="D17" s="11" t="s">
        <v>53</v>
      </c>
      <c r="E17" s="12" t="s">
        <v>54</v>
      </c>
      <c r="F17" s="12">
        <v>1282011811</v>
      </c>
      <c r="G17" s="12" t="s">
        <v>55</v>
      </c>
      <c r="H17" s="13">
        <v>1022780889</v>
      </c>
    </row>
    <row r="18" spans="1:8" ht="15.75" customHeight="1">
      <c r="A18" s="212"/>
      <c r="B18" s="215"/>
      <c r="C18" s="215"/>
      <c r="D18" s="11" t="s">
        <v>56</v>
      </c>
      <c r="E18" s="12" t="s">
        <v>57</v>
      </c>
      <c r="F18" s="12">
        <v>1099866185</v>
      </c>
      <c r="G18" s="12" t="s">
        <v>58</v>
      </c>
      <c r="H18" s="13">
        <v>1026120713</v>
      </c>
    </row>
    <row r="19" spans="1:8" ht="15.75" customHeight="1">
      <c r="A19" s="222" t="s">
        <v>59</v>
      </c>
      <c r="B19" s="217" t="s">
        <v>60</v>
      </c>
      <c r="C19" s="217">
        <v>1153843810</v>
      </c>
      <c r="D19" s="15" t="s">
        <v>61</v>
      </c>
      <c r="E19" s="16" t="s">
        <v>62</v>
      </c>
      <c r="F19" s="16">
        <v>1143824341</v>
      </c>
      <c r="G19" s="16" t="s">
        <v>63</v>
      </c>
      <c r="H19" s="17">
        <v>1143591786</v>
      </c>
    </row>
    <row r="20" spans="1:8" ht="15.75" customHeight="1">
      <c r="A20" s="211"/>
      <c r="B20" s="214"/>
      <c r="C20" s="214"/>
      <c r="D20" s="15" t="s">
        <v>64</v>
      </c>
      <c r="E20" s="16" t="s">
        <v>65</v>
      </c>
      <c r="F20" s="16">
        <v>1006291813</v>
      </c>
      <c r="G20" s="16" t="s">
        <v>66</v>
      </c>
      <c r="H20" s="17">
        <v>1118183538</v>
      </c>
    </row>
    <row r="21" spans="1:8" ht="15.75" customHeight="1">
      <c r="A21" s="211"/>
      <c r="B21" s="214"/>
      <c r="C21" s="214"/>
      <c r="D21" s="15" t="s">
        <v>67</v>
      </c>
      <c r="E21" s="16" t="s">
        <v>68</v>
      </c>
      <c r="F21" s="16">
        <v>1060747836</v>
      </c>
      <c r="G21" s="16" t="s">
        <v>69</v>
      </c>
      <c r="H21" s="17">
        <v>1126181416</v>
      </c>
    </row>
    <row r="22" spans="1:8" ht="15.75" customHeight="1">
      <c r="A22" s="211"/>
      <c r="B22" s="214"/>
      <c r="C22" s="214"/>
      <c r="D22" s="15" t="s">
        <v>70</v>
      </c>
      <c r="E22" s="16" t="s">
        <v>71</v>
      </c>
      <c r="F22" s="16">
        <v>1033522480</v>
      </c>
      <c r="G22" s="16" t="s">
        <v>72</v>
      </c>
      <c r="H22" s="17">
        <v>1145399946</v>
      </c>
    </row>
    <row r="23" spans="1:8" ht="15.75" customHeight="1">
      <c r="A23" s="211"/>
      <c r="B23" s="214"/>
      <c r="C23" s="214"/>
      <c r="D23" s="15" t="s">
        <v>73</v>
      </c>
      <c r="E23" s="16" t="s">
        <v>74</v>
      </c>
      <c r="F23" s="16">
        <v>1009109960</v>
      </c>
      <c r="G23" s="16" t="s">
        <v>75</v>
      </c>
      <c r="H23" s="17">
        <v>1027216067</v>
      </c>
    </row>
    <row r="24" spans="1:8" ht="15.75" customHeight="1">
      <c r="A24" s="212"/>
      <c r="B24" s="215"/>
      <c r="C24" s="215"/>
      <c r="D24" s="15" t="s">
        <v>76</v>
      </c>
      <c r="E24" s="16" t="s">
        <v>77</v>
      </c>
      <c r="F24" s="16">
        <v>1110448311</v>
      </c>
      <c r="G24" s="16" t="s">
        <v>78</v>
      </c>
      <c r="H24" s="17">
        <v>1149587093</v>
      </c>
    </row>
    <row r="25" spans="1:8" ht="15.75" customHeight="1">
      <c r="A25" s="210" t="s">
        <v>79</v>
      </c>
      <c r="B25" s="213" t="s">
        <v>80</v>
      </c>
      <c r="C25" s="213">
        <v>1001824602</v>
      </c>
      <c r="D25" s="11" t="s">
        <v>81</v>
      </c>
      <c r="E25" s="12" t="s">
        <v>82</v>
      </c>
      <c r="F25" s="12">
        <v>1025029336</v>
      </c>
      <c r="G25" s="12" t="s">
        <v>83</v>
      </c>
      <c r="H25" s="13">
        <v>1002256222</v>
      </c>
    </row>
    <row r="26" spans="1:8" ht="15.75" customHeight="1">
      <c r="A26" s="211"/>
      <c r="B26" s="214"/>
      <c r="C26" s="214"/>
      <c r="D26" s="11" t="s">
        <v>84</v>
      </c>
      <c r="E26" s="12" t="s">
        <v>85</v>
      </c>
      <c r="F26" s="12">
        <v>1065223495</v>
      </c>
      <c r="G26" s="12" t="s">
        <v>86</v>
      </c>
      <c r="H26" s="12">
        <v>1011974690</v>
      </c>
    </row>
    <row r="27" spans="1:8" ht="15.75" customHeight="1">
      <c r="A27" s="211"/>
      <c r="B27" s="214"/>
      <c r="C27" s="214"/>
      <c r="D27" s="11" t="s">
        <v>87</v>
      </c>
      <c r="E27" s="12" t="s">
        <v>88</v>
      </c>
      <c r="F27" s="12">
        <v>1008545428</v>
      </c>
      <c r="G27" s="12" t="s">
        <v>89</v>
      </c>
      <c r="H27" s="13">
        <v>1110303857</v>
      </c>
    </row>
    <row r="28" spans="1:8" ht="15.75" customHeight="1">
      <c r="A28" s="211"/>
      <c r="B28" s="214"/>
      <c r="C28" s="214"/>
      <c r="D28" s="11" t="s">
        <v>90</v>
      </c>
      <c r="E28" s="12" t="s">
        <v>91</v>
      </c>
      <c r="F28" s="12">
        <v>1256777656</v>
      </c>
      <c r="G28" s="12" t="s">
        <v>92</v>
      </c>
      <c r="H28" s="19">
        <v>1066236623</v>
      </c>
    </row>
    <row r="29" spans="1:8" ht="15.75" customHeight="1">
      <c r="A29" s="212"/>
      <c r="B29" s="215"/>
      <c r="C29" s="215"/>
      <c r="D29" s="20" t="s">
        <v>93</v>
      </c>
      <c r="E29" s="10" t="s">
        <v>94</v>
      </c>
      <c r="F29" s="10">
        <v>1004888575</v>
      </c>
      <c r="G29" s="10" t="s">
        <v>95</v>
      </c>
      <c r="H29" s="10">
        <f>201092526948</f>
        <v>201092526948</v>
      </c>
    </row>
    <row r="30" spans="1:8" ht="15.75" customHeight="1">
      <c r="A30" s="218" t="s">
        <v>96</v>
      </c>
      <c r="B30" s="220" t="s">
        <v>97</v>
      </c>
      <c r="C30" s="220">
        <v>1100535905</v>
      </c>
      <c r="D30" s="21" t="s">
        <v>98</v>
      </c>
      <c r="E30" s="22" t="s">
        <v>99</v>
      </c>
      <c r="F30" s="22">
        <v>1118661545</v>
      </c>
      <c r="G30" s="22" t="s">
        <v>100</v>
      </c>
      <c r="H30" s="22">
        <v>1141918840</v>
      </c>
    </row>
    <row r="31" spans="1:8" ht="15.75" customHeight="1">
      <c r="A31" s="211"/>
      <c r="B31" s="214"/>
      <c r="C31" s="214"/>
      <c r="D31" s="23" t="s">
        <v>101</v>
      </c>
      <c r="E31" s="7" t="s">
        <v>102</v>
      </c>
      <c r="F31" s="7">
        <v>1033494946</v>
      </c>
      <c r="G31" s="7" t="s">
        <v>103</v>
      </c>
      <c r="H31" s="7">
        <v>1100343566</v>
      </c>
    </row>
    <row r="32" spans="1:8" ht="15.75" customHeight="1">
      <c r="A32" s="211"/>
      <c r="B32" s="214"/>
      <c r="C32" s="214"/>
      <c r="D32" s="23" t="s">
        <v>104</v>
      </c>
      <c r="E32" s="7" t="s">
        <v>105</v>
      </c>
      <c r="F32" s="7">
        <v>1201860006</v>
      </c>
      <c r="G32" s="7" t="s">
        <v>106</v>
      </c>
      <c r="H32" s="9">
        <v>1100151900</v>
      </c>
    </row>
    <row r="33" spans="1:8" ht="15.75" customHeight="1">
      <c r="A33" s="211"/>
      <c r="B33" s="214"/>
      <c r="C33" s="214"/>
      <c r="D33" s="23" t="s">
        <v>107</v>
      </c>
      <c r="E33" s="7" t="s">
        <v>108</v>
      </c>
      <c r="F33" s="7">
        <v>1152254542</v>
      </c>
      <c r="G33" s="7" t="s">
        <v>109</v>
      </c>
      <c r="H33" s="9">
        <v>1224070495</v>
      </c>
    </row>
    <row r="34" spans="1:8" ht="15.75" customHeight="1">
      <c r="A34" s="211"/>
      <c r="B34" s="214"/>
      <c r="C34" s="214"/>
      <c r="D34" s="23" t="s">
        <v>110</v>
      </c>
      <c r="E34" s="7" t="s">
        <v>111</v>
      </c>
      <c r="F34" s="7">
        <v>1068462346</v>
      </c>
      <c r="G34" s="7" t="s">
        <v>112</v>
      </c>
      <c r="H34" s="9">
        <v>1116682924</v>
      </c>
    </row>
    <row r="35" spans="1:8" ht="15.75" customHeight="1">
      <c r="A35" s="211"/>
      <c r="B35" s="214"/>
      <c r="C35" s="214"/>
      <c r="D35" s="24" t="s">
        <v>113</v>
      </c>
      <c r="E35" s="25" t="s">
        <v>114</v>
      </c>
      <c r="F35" s="25">
        <f>1119174174</f>
        <v>1119174174</v>
      </c>
      <c r="G35" s="26" t="s">
        <v>115</v>
      </c>
      <c r="H35" s="27">
        <v>1159332025</v>
      </c>
    </row>
    <row r="36" spans="1:8" ht="43.5" customHeight="1">
      <c r="A36" s="211"/>
      <c r="B36" s="214"/>
      <c r="C36" s="214"/>
      <c r="D36" s="24" t="s">
        <v>116</v>
      </c>
      <c r="E36" s="25" t="s">
        <v>117</v>
      </c>
      <c r="F36" s="25">
        <v>1121066392</v>
      </c>
      <c r="G36" s="25" t="s">
        <v>118</v>
      </c>
      <c r="H36" s="27">
        <f>1152467428</f>
        <v>1152467428</v>
      </c>
    </row>
    <row r="37" spans="1:8" ht="15.75" customHeight="1">
      <c r="A37" s="219"/>
      <c r="B37" s="221"/>
      <c r="C37" s="221"/>
      <c r="D37" s="28" t="s">
        <v>119</v>
      </c>
      <c r="E37" s="29" t="s">
        <v>120</v>
      </c>
      <c r="F37" s="29">
        <v>1020216780</v>
      </c>
      <c r="G37" s="29" t="s">
        <v>121</v>
      </c>
      <c r="H37" s="29">
        <v>1023083676</v>
      </c>
    </row>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30:A37"/>
    <mergeCell ref="B30:B37"/>
    <mergeCell ref="C30:C37"/>
    <mergeCell ref="A10:A16"/>
    <mergeCell ref="A17:A18"/>
    <mergeCell ref="B17:B18"/>
    <mergeCell ref="C17:C18"/>
    <mergeCell ref="A19:A24"/>
    <mergeCell ref="B19:B24"/>
    <mergeCell ref="C19:C24"/>
    <mergeCell ref="B10:B16"/>
    <mergeCell ref="C10:C16"/>
    <mergeCell ref="A25:A29"/>
    <mergeCell ref="B25:B29"/>
    <mergeCell ref="C25:C29"/>
    <mergeCell ref="A1:H1"/>
    <mergeCell ref="G2:H2"/>
    <mergeCell ref="A4:A9"/>
    <mergeCell ref="B4:B9"/>
    <mergeCell ref="C4:C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1000"/>
  <sheetViews>
    <sheetView rightToLeft="1" tabSelected="1" workbookViewId="0">
      <pane xSplit="2" ySplit="4" topLeftCell="N5" activePane="bottomRight" state="frozen"/>
      <selection pane="topRight" activeCell="C1" sqref="C1"/>
      <selection pane="bottomLeft" activeCell="A5" sqref="A5"/>
      <selection pane="bottomRight" activeCell="D3" sqref="C1:D1048576"/>
    </sheetView>
  </sheetViews>
  <sheetFormatPr defaultColWidth="12.5703125" defaultRowHeight="15" customHeight="1"/>
  <cols>
    <col min="1" max="1" width="9.140625" customWidth="1"/>
    <col min="2" max="2" width="25.140625" customWidth="1"/>
    <col min="3" max="3" width="24.7109375" customWidth="1"/>
    <col min="4" max="4" width="18.140625" customWidth="1"/>
    <col min="5" max="9" width="12.85546875" customWidth="1"/>
    <col min="10" max="10" width="14.42578125" customWidth="1"/>
    <col min="11" max="11" width="32.42578125" customWidth="1"/>
    <col min="12" max="12" width="16.7109375" customWidth="1"/>
    <col min="13" max="13" width="14" customWidth="1"/>
    <col min="14" max="14" width="13.42578125" customWidth="1"/>
    <col min="15" max="15" width="22.42578125" customWidth="1"/>
    <col min="16" max="16" width="36.42578125" customWidth="1"/>
    <col min="17" max="17" width="52.140625" customWidth="1"/>
    <col min="18" max="18" width="38.42578125" customWidth="1"/>
  </cols>
  <sheetData>
    <row r="1" spans="1:18" ht="15.75" customHeight="1" thickBot="1">
      <c r="A1" s="335" t="s">
        <v>122</v>
      </c>
      <c r="B1" s="287" t="s">
        <v>123</v>
      </c>
      <c r="C1" s="336" t="s">
        <v>124</v>
      </c>
      <c r="D1" s="337"/>
      <c r="E1" s="337"/>
      <c r="F1" s="337"/>
      <c r="G1" s="337"/>
      <c r="H1" s="337"/>
      <c r="I1" s="337"/>
      <c r="J1" s="337"/>
      <c r="K1" s="337"/>
      <c r="L1" s="337"/>
      <c r="M1" s="337"/>
      <c r="N1" s="337"/>
      <c r="O1" s="337"/>
      <c r="P1" s="337"/>
      <c r="Q1" s="337"/>
      <c r="R1" s="338"/>
    </row>
    <row r="2" spans="1:18" ht="15.75" customHeight="1" thickBot="1">
      <c r="A2" s="334"/>
      <c r="B2" s="334"/>
      <c r="C2" s="339" t="s">
        <v>125</v>
      </c>
      <c r="D2" s="337"/>
      <c r="E2" s="337"/>
      <c r="F2" s="337"/>
      <c r="G2" s="337"/>
      <c r="H2" s="337"/>
      <c r="I2" s="337"/>
      <c r="J2" s="338"/>
      <c r="K2" s="340" t="s">
        <v>126</v>
      </c>
      <c r="L2" s="342" t="s">
        <v>127</v>
      </c>
      <c r="M2" s="343"/>
      <c r="N2" s="329" t="s">
        <v>128</v>
      </c>
      <c r="O2" s="331" t="s">
        <v>129</v>
      </c>
      <c r="P2" s="333" t="s">
        <v>130</v>
      </c>
      <c r="Q2" s="333" t="s">
        <v>131</v>
      </c>
      <c r="R2" s="333" t="s">
        <v>132</v>
      </c>
    </row>
    <row r="3" spans="1:18" ht="15.75" customHeight="1" thickBot="1">
      <c r="A3" s="334"/>
      <c r="B3" s="334"/>
      <c r="C3" s="287" t="s">
        <v>133</v>
      </c>
      <c r="D3" s="287" t="s">
        <v>134</v>
      </c>
      <c r="E3" s="323" t="s">
        <v>135</v>
      </c>
      <c r="F3" s="323" t="s">
        <v>136</v>
      </c>
      <c r="G3" s="323" t="s">
        <v>137</v>
      </c>
      <c r="H3" s="323" t="s">
        <v>138</v>
      </c>
      <c r="I3" s="323" t="s">
        <v>139</v>
      </c>
      <c r="J3" s="324" t="s">
        <v>140</v>
      </c>
      <c r="K3" s="230"/>
      <c r="L3" s="325"/>
      <c r="M3" s="325"/>
      <c r="N3" s="330"/>
      <c r="O3" s="332"/>
      <c r="P3" s="334"/>
      <c r="Q3" s="334"/>
      <c r="R3" s="334"/>
    </row>
    <row r="4" spans="1:18" ht="15.75" customHeight="1" thickBot="1">
      <c r="A4" s="288"/>
      <c r="B4" s="288"/>
      <c r="C4" s="288"/>
      <c r="D4" s="288"/>
      <c r="E4" s="285"/>
      <c r="F4" s="285"/>
      <c r="G4" s="285"/>
      <c r="H4" s="285"/>
      <c r="I4" s="285"/>
      <c r="J4" s="325"/>
      <c r="K4" s="341"/>
      <c r="L4" s="31" t="s">
        <v>141</v>
      </c>
      <c r="M4" s="30" t="s">
        <v>142</v>
      </c>
      <c r="N4" s="286"/>
      <c r="O4" s="285"/>
      <c r="P4" s="288"/>
      <c r="Q4" s="288"/>
      <c r="R4" s="288"/>
    </row>
    <row r="5" spans="1:18" ht="15.75" customHeight="1" thickTop="1">
      <c r="A5" s="289" t="s">
        <v>143</v>
      </c>
      <c r="B5" s="266" t="s">
        <v>144</v>
      </c>
      <c r="C5" s="32" t="s">
        <v>145</v>
      </c>
      <c r="D5" s="33">
        <v>1272825628</v>
      </c>
      <c r="E5" s="34" t="s">
        <v>146</v>
      </c>
      <c r="F5" s="34"/>
      <c r="G5" s="34"/>
      <c r="H5" s="35"/>
      <c r="I5" s="35"/>
      <c r="J5" s="226" t="s">
        <v>147</v>
      </c>
      <c r="K5" s="326" t="s">
        <v>148</v>
      </c>
      <c r="L5" s="327" t="s">
        <v>149</v>
      </c>
      <c r="M5" s="328" t="s">
        <v>147</v>
      </c>
      <c r="N5" s="326" t="s">
        <v>150</v>
      </c>
      <c r="O5" s="233" t="s">
        <v>151</v>
      </c>
      <c r="P5" s="322"/>
      <c r="Q5" s="322"/>
      <c r="R5" s="322"/>
    </row>
    <row r="6" spans="1:18" ht="15.75" customHeight="1">
      <c r="A6" s="230"/>
      <c r="B6" s="230"/>
      <c r="C6" s="36" t="s">
        <v>152</v>
      </c>
      <c r="D6" s="37">
        <v>1201285350</v>
      </c>
      <c r="E6" s="38" t="s">
        <v>153</v>
      </c>
      <c r="F6" s="38" t="s">
        <v>146</v>
      </c>
      <c r="G6" s="38" t="s">
        <v>146</v>
      </c>
      <c r="H6" s="35"/>
      <c r="I6" s="35" t="s">
        <v>146</v>
      </c>
      <c r="J6" s="227"/>
      <c r="K6" s="230"/>
      <c r="L6" s="230"/>
      <c r="M6" s="230"/>
      <c r="N6" s="230"/>
      <c r="O6" s="234"/>
      <c r="P6" s="224"/>
      <c r="Q6" s="224"/>
      <c r="R6" s="224"/>
    </row>
    <row r="7" spans="1:18" ht="15.75" customHeight="1">
      <c r="A7" s="230"/>
      <c r="B7" s="230"/>
      <c r="C7" s="36" t="s">
        <v>154</v>
      </c>
      <c r="D7" s="37">
        <v>1147714487</v>
      </c>
      <c r="E7" s="38" t="s">
        <v>146</v>
      </c>
      <c r="F7" s="38" t="s">
        <v>153</v>
      </c>
      <c r="G7" s="38" t="s">
        <v>153</v>
      </c>
      <c r="H7" s="35"/>
      <c r="I7" s="35" t="s">
        <v>153</v>
      </c>
      <c r="J7" s="227"/>
      <c r="K7" s="230"/>
      <c r="L7" s="230"/>
      <c r="M7" s="230"/>
      <c r="N7" s="230"/>
      <c r="O7" s="234"/>
      <c r="P7" s="224"/>
      <c r="Q7" s="224"/>
      <c r="R7" s="224"/>
    </row>
    <row r="8" spans="1:18" ht="15.75" customHeight="1">
      <c r="A8" s="230"/>
      <c r="B8" s="230"/>
      <c r="C8" s="36" t="s">
        <v>155</v>
      </c>
      <c r="D8" s="37">
        <v>1017749486</v>
      </c>
      <c r="E8" s="38" t="s">
        <v>153</v>
      </c>
      <c r="F8" s="38" t="s">
        <v>153</v>
      </c>
      <c r="G8" s="38" t="s">
        <v>153</v>
      </c>
      <c r="H8" s="35"/>
      <c r="I8" s="35" t="s">
        <v>153</v>
      </c>
      <c r="J8" s="227"/>
      <c r="K8" s="326" t="str">
        <f ca="1">IFERROR(__xludf.DUMMYFUNCTION("TEXTJOIN("" . "", TRUE, 
ARRAYFORMULA(
  {""A+"", ""A-"", ""B+"", ""B-"", ""O+"", ""O-"", ""AB+"", ""AB-""} &amp; 
  IMPORTRANGE(""https://docs.google.com/spreadsheets/d/1mpguJPr_mG_nGzxczFne84Im0A-cnZAsGvfJ90SyeLk/edit?gid=0#gid=0"", ""STOCK Mang!F5:M5"")
))"&amp;"
"),"#REF!")</f>
        <v>#REF!</v>
      </c>
      <c r="L8" s="230"/>
      <c r="M8" s="230"/>
      <c r="N8" s="230"/>
      <c r="O8" s="234"/>
      <c r="P8" s="224"/>
      <c r="Q8" s="224"/>
      <c r="R8" s="224"/>
    </row>
    <row r="9" spans="1:18" ht="15.75" customHeight="1">
      <c r="A9" s="230"/>
      <c r="B9" s="230"/>
      <c r="C9" s="36" t="s">
        <v>156</v>
      </c>
      <c r="D9" s="37">
        <v>1225869374</v>
      </c>
      <c r="E9" s="38" t="s">
        <v>153</v>
      </c>
      <c r="F9" s="38" t="s">
        <v>157</v>
      </c>
      <c r="G9" s="38" t="s">
        <v>146</v>
      </c>
      <c r="H9" s="35"/>
      <c r="I9" s="35" t="s">
        <v>146</v>
      </c>
      <c r="J9" s="227"/>
      <c r="K9" s="230"/>
      <c r="L9" s="230"/>
      <c r="M9" s="230"/>
      <c r="N9" s="230"/>
      <c r="O9" s="234"/>
      <c r="P9" s="224"/>
      <c r="Q9" s="224"/>
      <c r="R9" s="224"/>
    </row>
    <row r="10" spans="1:18" ht="15.75" customHeight="1">
      <c r="A10" s="230"/>
      <c r="B10" s="230"/>
      <c r="C10" s="36" t="s">
        <v>158</v>
      </c>
      <c r="D10" s="37">
        <v>1021297892</v>
      </c>
      <c r="E10" s="38" t="s">
        <v>157</v>
      </c>
      <c r="F10" s="38" t="s">
        <v>146</v>
      </c>
      <c r="G10" s="38" t="s">
        <v>146</v>
      </c>
      <c r="H10" s="35" t="s">
        <v>146</v>
      </c>
      <c r="I10" s="35" t="s">
        <v>146</v>
      </c>
      <c r="J10" s="227"/>
      <c r="K10" s="230"/>
      <c r="L10" s="230"/>
      <c r="M10" s="230"/>
      <c r="N10" s="230"/>
      <c r="O10" s="234"/>
      <c r="P10" s="224"/>
      <c r="Q10" s="224"/>
      <c r="R10" s="224"/>
    </row>
    <row r="11" spans="1:18" ht="15.75" customHeight="1">
      <c r="A11" s="230"/>
      <c r="B11" s="230"/>
      <c r="C11" s="36" t="s">
        <v>159</v>
      </c>
      <c r="D11" s="37">
        <v>1064148338</v>
      </c>
      <c r="E11" s="38" t="s">
        <v>160</v>
      </c>
      <c r="F11" s="38" t="s">
        <v>160</v>
      </c>
      <c r="G11" s="38" t="s">
        <v>160</v>
      </c>
      <c r="H11" s="35" t="s">
        <v>160</v>
      </c>
      <c r="I11" s="35" t="s">
        <v>160</v>
      </c>
      <c r="J11" s="227"/>
      <c r="K11" s="230"/>
      <c r="L11" s="230"/>
      <c r="M11" s="230"/>
      <c r="N11" s="230"/>
      <c r="O11" s="234"/>
      <c r="P11" s="224"/>
      <c r="Q11" s="224"/>
      <c r="R11" s="224"/>
    </row>
    <row r="12" spans="1:18" ht="15.75" customHeight="1">
      <c r="A12" s="230"/>
      <c r="B12" s="230"/>
      <c r="C12" s="36" t="s">
        <v>161</v>
      </c>
      <c r="D12" s="37">
        <v>1090462223</v>
      </c>
      <c r="E12" s="38" t="s">
        <v>157</v>
      </c>
      <c r="F12" s="38"/>
      <c r="G12" s="38"/>
      <c r="H12" s="35"/>
      <c r="I12" s="35" t="s">
        <v>157</v>
      </c>
      <c r="J12" s="227"/>
      <c r="K12" s="230"/>
      <c r="L12" s="230"/>
      <c r="M12" s="230"/>
      <c r="N12" s="230"/>
      <c r="O12" s="234"/>
      <c r="P12" s="224"/>
      <c r="Q12" s="224"/>
      <c r="R12" s="224"/>
    </row>
    <row r="13" spans="1:18" ht="15.75" customHeight="1">
      <c r="A13" s="230"/>
      <c r="B13" s="230"/>
      <c r="C13" s="36"/>
      <c r="D13" s="37"/>
      <c r="E13" s="38"/>
      <c r="F13" s="38"/>
      <c r="G13" s="38"/>
      <c r="H13" s="35"/>
      <c r="I13" s="35"/>
      <c r="J13" s="227"/>
      <c r="K13" s="230"/>
      <c r="L13" s="230"/>
      <c r="M13" s="230"/>
      <c r="N13" s="230"/>
      <c r="O13" s="234"/>
      <c r="P13" s="224"/>
      <c r="Q13" s="224"/>
      <c r="R13" s="224"/>
    </row>
    <row r="14" spans="1:18" ht="15.75" customHeight="1">
      <c r="A14" s="230"/>
      <c r="B14" s="230"/>
      <c r="C14" s="36"/>
      <c r="D14" s="37"/>
      <c r="E14" s="38"/>
      <c r="F14" s="38"/>
      <c r="G14" s="38"/>
      <c r="H14" s="35"/>
      <c r="I14" s="35"/>
      <c r="J14" s="227"/>
      <c r="K14" s="230"/>
      <c r="L14" s="230"/>
      <c r="M14" s="230"/>
      <c r="N14" s="230"/>
      <c r="O14" s="234"/>
      <c r="P14" s="224"/>
      <c r="Q14" s="224"/>
      <c r="R14" s="224"/>
    </row>
    <row r="15" spans="1:18" ht="15.75" customHeight="1">
      <c r="A15" s="230"/>
      <c r="B15" s="230"/>
      <c r="C15" s="36"/>
      <c r="D15" s="37"/>
      <c r="E15" s="38"/>
      <c r="F15" s="38"/>
      <c r="G15" s="38"/>
      <c r="H15" s="35"/>
      <c r="I15" s="35"/>
      <c r="J15" s="227"/>
      <c r="K15" s="230"/>
      <c r="L15" s="230"/>
      <c r="M15" s="230"/>
      <c r="N15" s="230"/>
      <c r="O15" s="234"/>
      <c r="P15" s="224"/>
      <c r="Q15" s="224"/>
      <c r="R15" s="224"/>
    </row>
    <row r="16" spans="1:18" ht="15.75" customHeight="1">
      <c r="A16" s="230"/>
      <c r="B16" s="230"/>
      <c r="C16" s="36"/>
      <c r="D16" s="37"/>
      <c r="E16" s="38"/>
      <c r="F16" s="38"/>
      <c r="G16" s="38"/>
      <c r="H16" s="35"/>
      <c r="I16" s="35"/>
      <c r="J16" s="227"/>
      <c r="K16" s="230"/>
      <c r="L16" s="230"/>
      <c r="M16" s="230"/>
      <c r="N16" s="230"/>
      <c r="O16" s="234"/>
      <c r="P16" s="224"/>
      <c r="Q16" s="224"/>
      <c r="R16" s="224"/>
    </row>
    <row r="17" spans="1:18" ht="15.75" customHeight="1" thickBot="1">
      <c r="A17" s="230"/>
      <c r="B17" s="232"/>
      <c r="C17" s="39"/>
      <c r="D17" s="40"/>
      <c r="E17" s="37"/>
      <c r="F17" s="41"/>
      <c r="G17" s="40"/>
      <c r="H17" s="42"/>
      <c r="I17" s="42"/>
      <c r="J17" s="228"/>
      <c r="K17" s="237"/>
      <c r="L17" s="237"/>
      <c r="M17" s="237"/>
      <c r="N17" s="237"/>
      <c r="O17" s="235"/>
      <c r="P17" s="240"/>
      <c r="Q17" s="240"/>
      <c r="R17" s="240"/>
    </row>
    <row r="18" spans="1:18" ht="15.75" customHeight="1">
      <c r="A18" s="230"/>
      <c r="B18" s="270" t="s">
        <v>162</v>
      </c>
      <c r="C18" s="43" t="s">
        <v>163</v>
      </c>
      <c r="D18" s="44">
        <v>1272820866</v>
      </c>
      <c r="E18" s="45" t="s">
        <v>164</v>
      </c>
      <c r="F18" s="45" t="s">
        <v>164</v>
      </c>
      <c r="G18" s="46"/>
      <c r="H18" s="46"/>
      <c r="I18" s="45" t="s">
        <v>164</v>
      </c>
      <c r="J18" s="226" t="s">
        <v>147</v>
      </c>
      <c r="K18" s="326" t="s">
        <v>148</v>
      </c>
      <c r="L18" s="327" t="s">
        <v>149</v>
      </c>
      <c r="M18" s="328" t="s">
        <v>165</v>
      </c>
      <c r="N18" s="326" t="s">
        <v>150</v>
      </c>
      <c r="O18" s="233" t="s">
        <v>166</v>
      </c>
      <c r="P18" s="262"/>
      <c r="Q18" s="223"/>
      <c r="R18" s="223"/>
    </row>
    <row r="19" spans="1:18" ht="15.75" customHeight="1">
      <c r="A19" s="230"/>
      <c r="B19" s="230"/>
      <c r="C19" s="43" t="s">
        <v>167</v>
      </c>
      <c r="D19" s="44">
        <v>1228632075</v>
      </c>
      <c r="E19" s="45"/>
      <c r="F19" s="47" t="s">
        <v>168</v>
      </c>
      <c r="G19" s="48" t="s">
        <v>169</v>
      </c>
      <c r="H19" s="49"/>
      <c r="I19" s="49" t="s">
        <v>168</v>
      </c>
      <c r="J19" s="227"/>
      <c r="K19" s="230"/>
      <c r="L19" s="230"/>
      <c r="M19" s="230"/>
      <c r="N19" s="230"/>
      <c r="O19" s="234"/>
      <c r="P19" s="224"/>
      <c r="Q19" s="224"/>
      <c r="R19" s="224"/>
    </row>
    <row r="20" spans="1:18" ht="15.75" customHeight="1">
      <c r="A20" s="230"/>
      <c r="B20" s="230"/>
      <c r="C20" s="43" t="s">
        <v>170</v>
      </c>
      <c r="D20" s="44">
        <v>1505144141</v>
      </c>
      <c r="E20" s="45" t="s">
        <v>171</v>
      </c>
      <c r="F20" s="47"/>
      <c r="G20" s="48"/>
      <c r="H20" s="49" t="s">
        <v>172</v>
      </c>
      <c r="I20" s="49"/>
      <c r="J20" s="227"/>
      <c r="K20" s="326" t="str">
        <f ca="1">IFERROR(__xludf.DUMMYFUNCTION("TEXTJOIN("" . "", TRUE, 
ARRAYFORMULA(
  {""A+"", ""A-"", ""B+"", ""B-"", ""O+"", ""O-"", ""AB+"", ""AB-""} &amp; 
  IMPORTRANGE(""https://docs.google.com/spreadsheets/d/1mpguJPr_mG_nGzxczFne84Im0A-cnZAsGvfJ90SyeLk/edit?gid=0#gid=0"", ""STOCK Mang!F6:M6"")
))"&amp;"
"),"#REF!")</f>
        <v>#REF!</v>
      </c>
      <c r="L20" s="230"/>
      <c r="M20" s="230"/>
      <c r="N20" s="230"/>
      <c r="O20" s="234"/>
      <c r="P20" s="224"/>
      <c r="Q20" s="224"/>
      <c r="R20" s="224"/>
    </row>
    <row r="21" spans="1:18" ht="15.75" customHeight="1">
      <c r="A21" s="230"/>
      <c r="B21" s="230"/>
      <c r="C21" s="43" t="s">
        <v>173</v>
      </c>
      <c r="D21" s="44">
        <v>1222239872</v>
      </c>
      <c r="E21" s="45" t="s">
        <v>168</v>
      </c>
      <c r="F21" s="47" t="s">
        <v>172</v>
      </c>
      <c r="G21" s="48" t="s">
        <v>172</v>
      </c>
      <c r="H21" s="49"/>
      <c r="I21" s="49"/>
      <c r="J21" s="227"/>
      <c r="K21" s="230"/>
      <c r="L21" s="230"/>
      <c r="M21" s="230"/>
      <c r="N21" s="230"/>
      <c r="O21" s="234"/>
      <c r="P21" s="224"/>
      <c r="Q21" s="224"/>
      <c r="R21" s="224"/>
    </row>
    <row r="22" spans="1:18" ht="15.75" customHeight="1">
      <c r="A22" s="230"/>
      <c r="B22" s="230"/>
      <c r="C22" s="43" t="s">
        <v>174</v>
      </c>
      <c r="D22" s="44">
        <v>1004747378</v>
      </c>
      <c r="E22" s="45" t="s">
        <v>168</v>
      </c>
      <c r="F22" s="47"/>
      <c r="G22" s="48"/>
      <c r="H22" s="49"/>
      <c r="I22" s="49"/>
      <c r="J22" s="227"/>
      <c r="K22" s="230"/>
      <c r="L22" s="230"/>
      <c r="M22" s="230"/>
      <c r="N22" s="230"/>
      <c r="O22" s="234"/>
      <c r="P22" s="224"/>
      <c r="Q22" s="224"/>
      <c r="R22" s="224"/>
    </row>
    <row r="23" spans="1:18" ht="15.75" customHeight="1">
      <c r="A23" s="230"/>
      <c r="B23" s="230"/>
      <c r="C23" s="43" t="s">
        <v>175</v>
      </c>
      <c r="D23" s="44">
        <v>1201629714</v>
      </c>
      <c r="E23" s="45"/>
      <c r="F23" s="47"/>
      <c r="G23" s="48" t="s">
        <v>168</v>
      </c>
      <c r="H23" s="49" t="s">
        <v>168</v>
      </c>
      <c r="I23" s="49"/>
      <c r="J23" s="227"/>
      <c r="K23" s="230"/>
      <c r="L23" s="230"/>
      <c r="M23" s="230"/>
      <c r="N23" s="230"/>
      <c r="O23" s="234"/>
      <c r="P23" s="224"/>
      <c r="Q23" s="224"/>
      <c r="R23" s="224"/>
    </row>
    <row r="24" spans="1:18" ht="15.75" customHeight="1">
      <c r="A24" s="230"/>
      <c r="B24" s="230"/>
      <c r="C24" s="43" t="s">
        <v>176</v>
      </c>
      <c r="D24" s="44">
        <v>1000047459</v>
      </c>
      <c r="E24" s="45"/>
      <c r="F24" s="47"/>
      <c r="G24" s="48"/>
      <c r="H24" s="49"/>
      <c r="I24" s="49" t="s">
        <v>172</v>
      </c>
      <c r="J24" s="227"/>
      <c r="K24" s="230"/>
      <c r="L24" s="230"/>
      <c r="M24" s="230"/>
      <c r="N24" s="230"/>
      <c r="O24" s="234"/>
      <c r="P24" s="224"/>
      <c r="Q24" s="224"/>
      <c r="R24" s="224"/>
    </row>
    <row r="25" spans="1:18" ht="15.75" customHeight="1">
      <c r="A25" s="230"/>
      <c r="B25" s="230"/>
      <c r="C25" s="43" t="s">
        <v>177</v>
      </c>
      <c r="D25" s="44">
        <v>1000039367</v>
      </c>
      <c r="E25" s="45"/>
      <c r="F25" s="47"/>
      <c r="G25" s="48"/>
      <c r="H25" s="49"/>
      <c r="I25" s="49" t="s">
        <v>168</v>
      </c>
      <c r="J25" s="227"/>
      <c r="K25" s="230"/>
      <c r="L25" s="230"/>
      <c r="M25" s="230"/>
      <c r="N25" s="230"/>
      <c r="O25" s="234"/>
      <c r="P25" s="224"/>
      <c r="Q25" s="224"/>
      <c r="R25" s="224"/>
    </row>
    <row r="26" spans="1:18" ht="15.75" customHeight="1">
      <c r="A26" s="230"/>
      <c r="B26" s="230"/>
      <c r="C26" s="43"/>
      <c r="D26" s="44"/>
      <c r="E26" s="45"/>
      <c r="F26" s="47"/>
      <c r="G26" s="48"/>
      <c r="H26" s="49"/>
      <c r="I26" s="49"/>
      <c r="J26" s="227"/>
      <c r="K26" s="230"/>
      <c r="L26" s="230"/>
      <c r="M26" s="230"/>
      <c r="N26" s="230"/>
      <c r="O26" s="234"/>
      <c r="P26" s="224"/>
      <c r="Q26" s="224"/>
      <c r="R26" s="224"/>
    </row>
    <row r="27" spans="1:18" ht="15.75" customHeight="1" thickBot="1">
      <c r="A27" s="230"/>
      <c r="B27" s="232"/>
      <c r="C27" s="43"/>
      <c r="D27" s="50"/>
      <c r="E27" s="46"/>
      <c r="F27" s="47"/>
      <c r="G27" s="51"/>
      <c r="H27" s="46"/>
      <c r="I27" s="46"/>
      <c r="J27" s="228"/>
      <c r="K27" s="230"/>
      <c r="L27" s="232"/>
      <c r="M27" s="232"/>
      <c r="N27" s="232"/>
      <c r="O27" s="235"/>
      <c r="P27" s="225"/>
      <c r="Q27" s="225"/>
      <c r="R27" s="225"/>
    </row>
    <row r="28" spans="1:18" ht="15.75" customHeight="1">
      <c r="A28" s="230"/>
      <c r="B28" s="270" t="s">
        <v>178</v>
      </c>
      <c r="C28" s="43" t="s">
        <v>179</v>
      </c>
      <c r="D28" s="52"/>
      <c r="E28" s="53" t="s">
        <v>146</v>
      </c>
      <c r="F28" s="51" t="s">
        <v>146</v>
      </c>
      <c r="G28" s="47" t="s">
        <v>146</v>
      </c>
      <c r="H28" s="46" t="s">
        <v>146</v>
      </c>
      <c r="I28" s="46"/>
      <c r="J28" s="226"/>
      <c r="K28" s="229" t="s">
        <v>148</v>
      </c>
      <c r="L28" s="229"/>
      <c r="M28" s="229"/>
      <c r="N28" s="229"/>
      <c r="O28" s="252"/>
      <c r="P28" s="262"/>
      <c r="Q28" s="262"/>
      <c r="R28" s="262"/>
    </row>
    <row r="29" spans="1:18" ht="15.75" customHeight="1">
      <c r="A29" s="230"/>
      <c r="B29" s="230"/>
      <c r="C29" s="43" t="s">
        <v>180</v>
      </c>
      <c r="D29" s="43"/>
      <c r="E29" s="46" t="s">
        <v>153</v>
      </c>
      <c r="F29" s="46" t="s">
        <v>153</v>
      </c>
      <c r="G29" s="47"/>
      <c r="H29" s="46"/>
      <c r="I29" s="46"/>
      <c r="J29" s="227"/>
      <c r="K29" s="230"/>
      <c r="L29" s="230"/>
      <c r="M29" s="230"/>
      <c r="N29" s="230"/>
      <c r="O29" s="234"/>
      <c r="P29" s="224"/>
      <c r="Q29" s="224"/>
      <c r="R29" s="224"/>
    </row>
    <row r="30" spans="1:18" ht="15.75" customHeight="1">
      <c r="A30" s="230"/>
      <c r="B30" s="230"/>
      <c r="C30" s="43" t="s">
        <v>181</v>
      </c>
      <c r="D30" s="43"/>
      <c r="E30" s="46" t="s">
        <v>153</v>
      </c>
      <c r="F30" s="46" t="s">
        <v>153</v>
      </c>
      <c r="G30" s="47"/>
      <c r="H30" s="46"/>
      <c r="I30" s="46"/>
      <c r="J30" s="227"/>
      <c r="K30" s="230"/>
      <c r="L30" s="230"/>
      <c r="M30" s="230"/>
      <c r="N30" s="230"/>
      <c r="O30" s="234"/>
      <c r="P30" s="224"/>
      <c r="Q30" s="224"/>
      <c r="R30" s="224"/>
    </row>
    <row r="31" spans="1:18" ht="15.75" customHeight="1">
      <c r="A31" s="230"/>
      <c r="B31" s="230"/>
      <c r="C31" s="43" t="s">
        <v>182</v>
      </c>
      <c r="D31" s="43"/>
      <c r="E31" s="46" t="s">
        <v>160</v>
      </c>
      <c r="F31" s="46" t="s">
        <v>160</v>
      </c>
      <c r="G31" s="47"/>
      <c r="H31" s="46"/>
      <c r="I31" s="46"/>
      <c r="J31" s="227"/>
      <c r="K31" s="229" t="str">
        <f ca="1">IFERROR(__xludf.DUMMYFUNCTION("TEXTJOIN("" . "", TRUE, 
ARRAYFORMULA(
  {""A+"", ""A-"", ""B+"", ""B-"", ""O+"", ""O-"", ""AB+"", ""AB-""} &amp; 
  IMPORTRANGE(""https://docs.google.com/spreadsheets/d/1mpguJPr_mG_nGzxczFne84Im0A-cnZAsGvfJ90SyeLk/edit?gid=0#gid=0"", ""STOCK Mang!F7:M7"")
))"&amp;"
"),"#REF!")</f>
        <v>#REF!</v>
      </c>
      <c r="L31" s="230"/>
      <c r="M31" s="230"/>
      <c r="N31" s="230"/>
      <c r="O31" s="234"/>
      <c r="P31" s="224"/>
      <c r="Q31" s="224"/>
      <c r="R31" s="224"/>
    </row>
    <row r="32" spans="1:18" ht="15.75" customHeight="1">
      <c r="A32" s="230"/>
      <c r="B32" s="230"/>
      <c r="C32" s="43"/>
      <c r="D32" s="43"/>
      <c r="E32" s="46"/>
      <c r="F32" s="46"/>
      <c r="G32" s="47"/>
      <c r="H32" s="46"/>
      <c r="I32" s="46"/>
      <c r="J32" s="227"/>
      <c r="K32" s="230"/>
      <c r="L32" s="230"/>
      <c r="M32" s="230"/>
      <c r="N32" s="230"/>
      <c r="O32" s="234"/>
      <c r="P32" s="224"/>
      <c r="Q32" s="224"/>
      <c r="R32" s="224"/>
    </row>
    <row r="33" spans="1:18" ht="15.75" customHeight="1">
      <c r="A33" s="230"/>
      <c r="B33" s="230"/>
      <c r="C33" s="43"/>
      <c r="D33" s="43"/>
      <c r="E33" s="46"/>
      <c r="F33" s="46"/>
      <c r="G33" s="47"/>
      <c r="H33" s="46"/>
      <c r="I33" s="46"/>
      <c r="J33" s="227"/>
      <c r="K33" s="230"/>
      <c r="L33" s="230"/>
      <c r="M33" s="230"/>
      <c r="N33" s="230"/>
      <c r="O33" s="234"/>
      <c r="P33" s="224"/>
      <c r="Q33" s="224"/>
      <c r="R33" s="224"/>
    </row>
    <row r="34" spans="1:18" ht="15.75" customHeight="1">
      <c r="A34" s="230"/>
      <c r="B34" s="230"/>
      <c r="C34" s="54"/>
      <c r="D34" s="54"/>
      <c r="E34" s="55"/>
      <c r="F34" s="55"/>
      <c r="G34" s="56"/>
      <c r="H34" s="57"/>
      <c r="I34" s="57"/>
      <c r="J34" s="227"/>
      <c r="K34" s="230"/>
      <c r="L34" s="230"/>
      <c r="M34" s="230"/>
      <c r="N34" s="230"/>
      <c r="O34" s="234"/>
      <c r="P34" s="224"/>
      <c r="Q34" s="224"/>
      <c r="R34" s="224"/>
    </row>
    <row r="35" spans="1:18" ht="15.75" customHeight="1">
      <c r="A35" s="230"/>
      <c r="B35" s="230"/>
      <c r="C35" s="54"/>
      <c r="D35" s="54"/>
      <c r="E35" s="57"/>
      <c r="F35" s="57"/>
      <c r="G35" s="58"/>
      <c r="H35" s="55"/>
      <c r="I35" s="57"/>
      <c r="J35" s="227"/>
      <c r="K35" s="230"/>
      <c r="L35" s="230"/>
      <c r="M35" s="230"/>
      <c r="N35" s="230"/>
      <c r="O35" s="234"/>
      <c r="P35" s="224"/>
      <c r="Q35" s="224"/>
      <c r="R35" s="224"/>
    </row>
    <row r="36" spans="1:18" ht="15.75" customHeight="1" thickBot="1">
      <c r="A36" s="230"/>
      <c r="B36" s="232"/>
      <c r="C36" s="46"/>
      <c r="D36" s="46"/>
      <c r="E36" s="37"/>
      <c r="F36" s="37"/>
      <c r="G36" s="38"/>
      <c r="H36" s="37"/>
      <c r="I36" s="37"/>
      <c r="J36" s="228"/>
      <c r="K36" s="237"/>
      <c r="L36" s="237"/>
      <c r="M36" s="237"/>
      <c r="N36" s="237"/>
      <c r="O36" s="253"/>
      <c r="P36" s="240"/>
      <c r="Q36" s="240"/>
      <c r="R36" s="240"/>
    </row>
    <row r="37" spans="1:18" ht="15.75" customHeight="1">
      <c r="A37" s="230"/>
      <c r="B37" s="270" t="s">
        <v>21</v>
      </c>
      <c r="C37" s="32" t="s">
        <v>183</v>
      </c>
      <c r="D37" s="33">
        <v>1026106669</v>
      </c>
      <c r="E37" s="34" t="s">
        <v>184</v>
      </c>
      <c r="F37" s="34" t="s">
        <v>185</v>
      </c>
      <c r="G37" s="34"/>
      <c r="H37" s="37"/>
      <c r="I37" s="37"/>
      <c r="J37" s="344" t="s">
        <v>147</v>
      </c>
      <c r="K37" s="229" t="s">
        <v>148</v>
      </c>
      <c r="L37" s="231" t="s">
        <v>149</v>
      </c>
      <c r="M37" s="231" t="s">
        <v>147</v>
      </c>
      <c r="N37" s="231" t="s">
        <v>150</v>
      </c>
      <c r="O37" s="233" t="s">
        <v>186</v>
      </c>
      <c r="P37" s="223"/>
      <c r="Q37" s="223"/>
      <c r="R37" s="223"/>
    </row>
    <row r="38" spans="1:18" ht="15.75" customHeight="1">
      <c r="A38" s="230"/>
      <c r="B38" s="230"/>
      <c r="C38" s="32" t="s">
        <v>187</v>
      </c>
      <c r="D38" s="33">
        <v>1021190860</v>
      </c>
      <c r="E38" s="34" t="s">
        <v>146</v>
      </c>
      <c r="F38" s="34"/>
      <c r="G38" s="34"/>
      <c r="H38" s="37"/>
      <c r="I38" s="37" t="s">
        <v>188</v>
      </c>
      <c r="J38" s="227"/>
      <c r="K38" s="230"/>
      <c r="L38" s="230"/>
      <c r="M38" s="230"/>
      <c r="N38" s="230"/>
      <c r="O38" s="234"/>
      <c r="P38" s="224"/>
      <c r="Q38" s="224"/>
      <c r="R38" s="224"/>
    </row>
    <row r="39" spans="1:18" ht="15.75" customHeight="1">
      <c r="A39" s="230"/>
      <c r="B39" s="230"/>
      <c r="C39" s="36" t="s">
        <v>189</v>
      </c>
      <c r="D39" s="37">
        <v>1275407767</v>
      </c>
      <c r="E39" s="38" t="s">
        <v>188</v>
      </c>
      <c r="F39" s="38" t="s">
        <v>188</v>
      </c>
      <c r="G39" s="38" t="s">
        <v>188</v>
      </c>
      <c r="H39" s="37" t="s">
        <v>146</v>
      </c>
      <c r="I39" s="37"/>
      <c r="J39" s="227"/>
      <c r="K39" s="229" t="str">
        <f ca="1">IFERROR(__xludf.DUMMYFUNCTION("TEXTJOIN("" . "", TRUE, 
ARRAYFORMULA(
  {""A+"", ""A-"", ""B+"", ""B-"", ""O+"", ""O-"", ""AB+"", ""AB-""} &amp; 
  IMPORTRANGE(""https://docs.google.com/spreadsheets/d/1mpguJPr_mG_nGzxczFne84Im0A-cnZAsGvfJ90SyeLk/edit?gid=0#gid=0"", ""STOCK Mang!F8:M8"")
))"&amp;"
"),"#REF!")</f>
        <v>#REF!</v>
      </c>
      <c r="L39" s="230"/>
      <c r="M39" s="230"/>
      <c r="N39" s="230"/>
      <c r="O39" s="234"/>
      <c r="P39" s="224"/>
      <c r="Q39" s="224"/>
      <c r="R39" s="224"/>
    </row>
    <row r="40" spans="1:18" ht="15.75" customHeight="1">
      <c r="A40" s="230"/>
      <c r="B40" s="230"/>
      <c r="C40" s="36" t="s">
        <v>190</v>
      </c>
      <c r="D40" s="37">
        <v>1055608504</v>
      </c>
      <c r="E40" s="38"/>
      <c r="F40" s="38" t="s">
        <v>185</v>
      </c>
      <c r="G40" s="38" t="s">
        <v>185</v>
      </c>
      <c r="H40" s="37" t="s">
        <v>191</v>
      </c>
      <c r="I40" s="37"/>
      <c r="J40" s="227"/>
      <c r="K40" s="230"/>
      <c r="L40" s="230"/>
      <c r="M40" s="230"/>
      <c r="N40" s="230"/>
      <c r="O40" s="234"/>
      <c r="P40" s="224"/>
      <c r="Q40" s="224"/>
      <c r="R40" s="224"/>
    </row>
    <row r="41" spans="1:18" ht="15.75" customHeight="1" thickBot="1">
      <c r="A41" s="230"/>
      <c r="B41" s="232"/>
      <c r="C41" s="59" t="s">
        <v>192</v>
      </c>
      <c r="D41" s="60">
        <v>1022278937</v>
      </c>
      <c r="E41" s="61"/>
      <c r="F41" s="61"/>
      <c r="G41" s="61"/>
      <c r="H41" s="37"/>
      <c r="I41" s="37" t="s">
        <v>185</v>
      </c>
      <c r="J41" s="345"/>
      <c r="K41" s="232"/>
      <c r="L41" s="232"/>
      <c r="M41" s="232"/>
      <c r="N41" s="232"/>
      <c r="O41" s="235"/>
      <c r="P41" s="225"/>
      <c r="Q41" s="225"/>
      <c r="R41" s="225"/>
    </row>
    <row r="42" spans="1:18" ht="15.75" customHeight="1">
      <c r="A42" s="230"/>
      <c r="B42" s="346">
        <v>45838</v>
      </c>
      <c r="C42" s="62" t="s">
        <v>193</v>
      </c>
      <c r="D42" s="32">
        <v>1027696612</v>
      </c>
      <c r="E42" s="35" t="s">
        <v>185</v>
      </c>
      <c r="F42" s="35"/>
      <c r="G42" s="38"/>
      <c r="H42" s="35"/>
      <c r="I42" s="35"/>
      <c r="J42" s="229" t="s">
        <v>147</v>
      </c>
      <c r="K42" s="229" t="s">
        <v>148</v>
      </c>
      <c r="L42" s="229" t="s">
        <v>149</v>
      </c>
      <c r="M42" s="229" t="s">
        <v>147</v>
      </c>
      <c r="N42" s="229" t="s">
        <v>150</v>
      </c>
      <c r="O42" s="233" t="s">
        <v>194</v>
      </c>
      <c r="P42" s="262"/>
      <c r="Q42" s="262"/>
      <c r="R42" s="262"/>
    </row>
    <row r="43" spans="1:18" ht="15.75" customHeight="1">
      <c r="A43" s="230"/>
      <c r="B43" s="230"/>
      <c r="C43" s="63" t="s">
        <v>24</v>
      </c>
      <c r="D43" s="32">
        <v>10005667</v>
      </c>
      <c r="E43" s="35" t="s">
        <v>195</v>
      </c>
      <c r="F43" s="35" t="s">
        <v>185</v>
      </c>
      <c r="G43" s="38"/>
      <c r="H43" s="35"/>
      <c r="I43" s="35"/>
      <c r="J43" s="230"/>
      <c r="K43" s="230"/>
      <c r="L43" s="230"/>
      <c r="M43" s="230"/>
      <c r="N43" s="230"/>
      <c r="O43" s="234"/>
      <c r="P43" s="224"/>
      <c r="Q43" s="224"/>
      <c r="R43" s="224"/>
    </row>
    <row r="44" spans="1:18" ht="15.75" customHeight="1">
      <c r="A44" s="230"/>
      <c r="B44" s="230"/>
      <c r="C44" s="64" t="s">
        <v>196</v>
      </c>
      <c r="D44" s="32">
        <v>1015884782</v>
      </c>
      <c r="E44" s="35"/>
      <c r="F44" s="35" t="s">
        <v>188</v>
      </c>
      <c r="G44" s="38"/>
      <c r="H44" s="35"/>
      <c r="I44" s="35" t="s">
        <v>185</v>
      </c>
      <c r="J44" s="230"/>
      <c r="K44" s="229" t="str">
        <f ca="1">IFERROR(__xludf.DUMMYFUNCTION("TEXTJOIN("" . "", TRUE, 
ARRAYFORMULA(
  {""A+"", ""A-"", ""B+"", ""B-"", ""O+"", ""O-"", ""AB+"", ""AB-""} &amp; 
  IMPORTRANGE(""https://docs.google.com/spreadsheets/d/1mpguJPr_mG_nGzxczFne84Im0A-cnZAsGvfJ90SyeLk/edit?gid=0#gid=0"", ""STOCK Mang!F9:M9"")
))"&amp;"
"),"#REF!")</f>
        <v>#REF!</v>
      </c>
      <c r="L44" s="230"/>
      <c r="M44" s="230"/>
      <c r="N44" s="230"/>
      <c r="O44" s="234"/>
      <c r="P44" s="224"/>
      <c r="Q44" s="224"/>
      <c r="R44" s="224"/>
    </row>
    <row r="45" spans="1:18" ht="15.75" customHeight="1">
      <c r="A45" s="230"/>
      <c r="B45" s="230"/>
      <c r="C45" s="65" t="s">
        <v>197</v>
      </c>
      <c r="D45" s="32">
        <v>1098050702</v>
      </c>
      <c r="E45" s="35"/>
      <c r="F45" s="35"/>
      <c r="G45" s="38" t="s">
        <v>195</v>
      </c>
      <c r="H45" s="35" t="s">
        <v>195</v>
      </c>
      <c r="I45" s="35"/>
      <c r="J45" s="230"/>
      <c r="K45" s="230"/>
      <c r="L45" s="230"/>
      <c r="M45" s="230"/>
      <c r="N45" s="230"/>
      <c r="O45" s="234"/>
      <c r="P45" s="224"/>
      <c r="Q45" s="224"/>
      <c r="R45" s="224"/>
    </row>
    <row r="46" spans="1:18" ht="15.75" customHeight="1">
      <c r="A46" s="230"/>
      <c r="B46" s="230"/>
      <c r="C46" s="63" t="s">
        <v>198</v>
      </c>
      <c r="D46" s="32"/>
      <c r="E46" s="35"/>
      <c r="F46" s="35"/>
      <c r="G46" s="34"/>
      <c r="H46" s="35"/>
      <c r="I46" s="35" t="s">
        <v>188</v>
      </c>
      <c r="J46" s="230"/>
      <c r="K46" s="230"/>
      <c r="L46" s="230"/>
      <c r="M46" s="230"/>
      <c r="N46" s="230"/>
      <c r="O46" s="234"/>
      <c r="P46" s="224"/>
      <c r="Q46" s="224"/>
      <c r="R46" s="224"/>
    </row>
    <row r="47" spans="1:18" ht="15.75" customHeight="1">
      <c r="A47" s="230"/>
      <c r="B47" s="230"/>
      <c r="C47" s="63"/>
      <c r="D47" s="36"/>
      <c r="E47" s="66"/>
      <c r="F47" s="66"/>
      <c r="G47" s="38"/>
      <c r="H47" s="35"/>
      <c r="I47" s="35"/>
      <c r="J47" s="230"/>
      <c r="K47" s="230"/>
      <c r="L47" s="230"/>
      <c r="M47" s="230"/>
      <c r="N47" s="230"/>
      <c r="O47" s="234"/>
      <c r="P47" s="224"/>
      <c r="Q47" s="224"/>
      <c r="R47" s="224"/>
    </row>
    <row r="48" spans="1:18" ht="15.75" customHeight="1">
      <c r="A48" s="230"/>
      <c r="B48" s="230"/>
      <c r="C48" s="67"/>
      <c r="D48" s="36"/>
      <c r="E48" s="66"/>
      <c r="F48" s="66"/>
      <c r="G48" s="38"/>
      <c r="H48" s="35"/>
      <c r="I48" s="35"/>
      <c r="J48" s="230"/>
      <c r="K48" s="230"/>
      <c r="L48" s="230"/>
      <c r="M48" s="230"/>
      <c r="N48" s="230"/>
      <c r="O48" s="234"/>
      <c r="P48" s="224"/>
      <c r="Q48" s="224"/>
      <c r="R48" s="224"/>
    </row>
    <row r="49" spans="1:18" ht="15.75" customHeight="1">
      <c r="A49" s="230"/>
      <c r="B49" s="230"/>
      <c r="C49" s="67"/>
      <c r="D49" s="36"/>
      <c r="E49" s="66"/>
      <c r="F49" s="66"/>
      <c r="G49" s="38"/>
      <c r="H49" s="35"/>
      <c r="I49" s="35"/>
      <c r="J49" s="230"/>
      <c r="K49" s="230"/>
      <c r="L49" s="230"/>
      <c r="M49" s="230"/>
      <c r="N49" s="230"/>
      <c r="O49" s="234"/>
      <c r="P49" s="224"/>
      <c r="Q49" s="224"/>
      <c r="R49" s="224"/>
    </row>
    <row r="50" spans="1:18" ht="15.75" customHeight="1" thickBot="1">
      <c r="A50" s="230"/>
      <c r="B50" s="232"/>
      <c r="C50" s="68"/>
      <c r="D50" s="69"/>
      <c r="E50" s="70"/>
      <c r="F50" s="70"/>
      <c r="G50" s="71"/>
      <c r="H50" s="72"/>
      <c r="I50" s="72"/>
      <c r="J50" s="237"/>
      <c r="K50" s="237"/>
      <c r="L50" s="237"/>
      <c r="M50" s="237"/>
      <c r="N50" s="237"/>
      <c r="O50" s="235"/>
      <c r="P50" s="240"/>
      <c r="Q50" s="240"/>
      <c r="R50" s="240"/>
    </row>
    <row r="51" spans="1:18" ht="15.75" customHeight="1">
      <c r="A51" s="230"/>
      <c r="B51" s="270" t="s">
        <v>199</v>
      </c>
      <c r="C51" s="73" t="s">
        <v>200</v>
      </c>
      <c r="D51" s="74">
        <v>1004773203</v>
      </c>
      <c r="E51" s="74" t="s">
        <v>201</v>
      </c>
      <c r="F51" s="74" t="s">
        <v>202</v>
      </c>
      <c r="G51" s="74"/>
      <c r="H51" s="35"/>
      <c r="I51" s="35" t="s">
        <v>203</v>
      </c>
      <c r="J51" s="226"/>
      <c r="K51" s="229" t="s">
        <v>148</v>
      </c>
      <c r="L51" s="231" t="s">
        <v>149</v>
      </c>
      <c r="M51" s="231" t="s">
        <v>165</v>
      </c>
      <c r="N51" s="231" t="s">
        <v>150</v>
      </c>
      <c r="O51" s="233" t="s">
        <v>204</v>
      </c>
      <c r="P51" s="223"/>
      <c r="Q51" s="223"/>
      <c r="R51" s="223"/>
    </row>
    <row r="52" spans="1:18" ht="15.75" customHeight="1">
      <c r="A52" s="230"/>
      <c r="B52" s="230"/>
      <c r="C52" s="37" t="s">
        <v>205</v>
      </c>
      <c r="D52" s="38">
        <v>1224154564</v>
      </c>
      <c r="E52" s="38" t="s">
        <v>202</v>
      </c>
      <c r="F52" s="38" t="s">
        <v>201</v>
      </c>
      <c r="G52" s="38"/>
      <c r="H52" s="35"/>
      <c r="I52" s="35"/>
      <c r="J52" s="227"/>
      <c r="K52" s="230"/>
      <c r="L52" s="230"/>
      <c r="M52" s="230"/>
      <c r="N52" s="230"/>
      <c r="O52" s="234"/>
      <c r="P52" s="224"/>
      <c r="Q52" s="224"/>
      <c r="R52" s="224"/>
    </row>
    <row r="53" spans="1:18" ht="15.75" customHeight="1">
      <c r="A53" s="230"/>
      <c r="B53" s="230"/>
      <c r="C53" s="37" t="s">
        <v>206</v>
      </c>
      <c r="D53" s="38">
        <v>1004913678</v>
      </c>
      <c r="E53" s="38" t="s">
        <v>207</v>
      </c>
      <c r="F53" s="38"/>
      <c r="G53" s="38"/>
      <c r="H53" s="35"/>
      <c r="I53" s="35"/>
      <c r="J53" s="227"/>
      <c r="K53" s="229" t="str">
        <f ca="1">IFERROR(__xludf.DUMMYFUNCTION("TEXTJOIN("" . "", TRUE, 
ARRAYFORMULA(
  {""A+"", ""A-"", ""B+"", ""B-"", ""O+"", ""O-"", ""AB+"", ""AB-""} &amp; 
  IMPORTRANGE(""https://docs.google.com/spreadsheets/d/1mpguJPr_mG_nGzxczFne84Im0A-cnZAsGvfJ90SyeLk/edit?gid=0#gid=0"", ""STOCK Mang!F10:M10"")
"&amp;"))
"),"#REF!")</f>
        <v>#REF!</v>
      </c>
      <c r="L53" s="230"/>
      <c r="M53" s="230"/>
      <c r="N53" s="230"/>
      <c r="O53" s="234"/>
      <c r="P53" s="224"/>
      <c r="Q53" s="224"/>
      <c r="R53" s="224"/>
    </row>
    <row r="54" spans="1:18" ht="15.75" customHeight="1">
      <c r="A54" s="230"/>
      <c r="B54" s="230"/>
      <c r="C54" s="37" t="s">
        <v>208</v>
      </c>
      <c r="D54" s="38">
        <v>1224005543</v>
      </c>
      <c r="E54" s="38" t="s">
        <v>201</v>
      </c>
      <c r="F54" s="38" t="s">
        <v>202</v>
      </c>
      <c r="G54" s="38"/>
      <c r="H54" s="35"/>
      <c r="I54" s="35"/>
      <c r="J54" s="227"/>
      <c r="K54" s="230"/>
      <c r="L54" s="230"/>
      <c r="M54" s="230"/>
      <c r="N54" s="230"/>
      <c r="O54" s="234"/>
      <c r="P54" s="224"/>
      <c r="Q54" s="224"/>
      <c r="R54" s="224"/>
    </row>
    <row r="55" spans="1:18" ht="15.75" customHeight="1">
      <c r="A55" s="230"/>
      <c r="B55" s="230"/>
      <c r="C55" s="75" t="s">
        <v>209</v>
      </c>
      <c r="D55" s="71">
        <v>1280734343</v>
      </c>
      <c r="E55" s="71"/>
      <c r="F55" s="71"/>
      <c r="G55" s="71" t="s">
        <v>202</v>
      </c>
      <c r="H55" s="72" t="s">
        <v>210</v>
      </c>
      <c r="I55" s="72" t="s">
        <v>203</v>
      </c>
      <c r="J55" s="227"/>
      <c r="K55" s="230"/>
      <c r="L55" s="230"/>
      <c r="M55" s="230"/>
      <c r="N55" s="230"/>
      <c r="O55" s="234"/>
      <c r="P55" s="224"/>
      <c r="Q55" s="224"/>
      <c r="R55" s="224"/>
    </row>
    <row r="56" spans="1:18" ht="15.75" customHeight="1">
      <c r="A56" s="230"/>
      <c r="B56" s="230"/>
      <c r="C56" s="75" t="s">
        <v>211</v>
      </c>
      <c r="D56" s="71">
        <v>1211271791</v>
      </c>
      <c r="E56" s="71" t="s">
        <v>212</v>
      </c>
      <c r="F56" s="71" t="s">
        <v>213</v>
      </c>
      <c r="G56" s="71"/>
      <c r="H56" s="72"/>
      <c r="I56" s="72"/>
      <c r="J56" s="227"/>
      <c r="K56" s="230"/>
      <c r="L56" s="230"/>
      <c r="M56" s="230"/>
      <c r="N56" s="230"/>
      <c r="O56" s="234"/>
      <c r="P56" s="224"/>
      <c r="Q56" s="224"/>
      <c r="R56" s="224"/>
    </row>
    <row r="57" spans="1:18" ht="15.75" customHeight="1">
      <c r="A57" s="230"/>
      <c r="B57" s="230"/>
      <c r="C57" s="75" t="s">
        <v>214</v>
      </c>
      <c r="D57" s="71">
        <v>1281685438</v>
      </c>
      <c r="E57" s="71"/>
      <c r="F57" s="71" t="s">
        <v>202</v>
      </c>
      <c r="G57" s="71" t="s">
        <v>215</v>
      </c>
      <c r="H57" s="72"/>
      <c r="I57" s="72"/>
      <c r="J57" s="227"/>
      <c r="K57" s="230"/>
      <c r="L57" s="230"/>
      <c r="M57" s="230"/>
      <c r="N57" s="230"/>
      <c r="O57" s="234"/>
      <c r="P57" s="224"/>
      <c r="Q57" s="224"/>
      <c r="R57" s="224"/>
    </row>
    <row r="58" spans="1:18" ht="15.75" customHeight="1">
      <c r="A58" s="230"/>
      <c r="B58" s="230"/>
      <c r="C58" s="75"/>
      <c r="D58" s="72"/>
      <c r="E58" s="71"/>
      <c r="F58" s="71"/>
      <c r="G58" s="71"/>
      <c r="H58" s="72"/>
      <c r="I58" s="72"/>
      <c r="J58" s="227"/>
      <c r="K58" s="230"/>
      <c r="L58" s="230"/>
      <c r="M58" s="230"/>
      <c r="N58" s="230"/>
      <c r="O58" s="234"/>
      <c r="P58" s="224"/>
      <c r="Q58" s="224"/>
      <c r="R58" s="224"/>
    </row>
    <row r="59" spans="1:18" ht="15.75" customHeight="1">
      <c r="A59" s="230"/>
      <c r="B59" s="230"/>
      <c r="C59" s="75"/>
      <c r="D59" s="72"/>
      <c r="E59" s="71"/>
      <c r="F59" s="71"/>
      <c r="G59" s="71"/>
      <c r="H59" s="72"/>
      <c r="I59" s="72"/>
      <c r="J59" s="227"/>
      <c r="K59" s="230"/>
      <c r="L59" s="230"/>
      <c r="M59" s="230"/>
      <c r="N59" s="230"/>
      <c r="O59" s="234"/>
      <c r="P59" s="224"/>
      <c r="Q59" s="224"/>
      <c r="R59" s="224"/>
    </row>
    <row r="60" spans="1:18" ht="15.75" customHeight="1">
      <c r="A60" s="230"/>
      <c r="B60" s="230"/>
      <c r="C60" s="75"/>
      <c r="D60" s="72"/>
      <c r="E60" s="71"/>
      <c r="F60" s="71"/>
      <c r="G60" s="71"/>
      <c r="H60" s="72"/>
      <c r="I60" s="72"/>
      <c r="J60" s="227"/>
      <c r="K60" s="230"/>
      <c r="L60" s="230"/>
      <c r="M60" s="230"/>
      <c r="N60" s="230"/>
      <c r="O60" s="234"/>
      <c r="P60" s="224"/>
      <c r="Q60" s="224"/>
      <c r="R60" s="224"/>
    </row>
    <row r="61" spans="1:18" ht="15.75" customHeight="1" thickBot="1">
      <c r="A61" s="237"/>
      <c r="B61" s="232"/>
      <c r="C61" s="60" t="s">
        <v>216</v>
      </c>
      <c r="D61" s="76">
        <v>1016080296</v>
      </c>
      <c r="E61" s="61" t="s">
        <v>217</v>
      </c>
      <c r="F61" s="61" t="s">
        <v>215</v>
      </c>
      <c r="G61" s="61"/>
      <c r="H61" s="72"/>
      <c r="I61" s="72"/>
      <c r="J61" s="228"/>
      <c r="K61" s="232"/>
      <c r="L61" s="232"/>
      <c r="M61" s="232"/>
      <c r="N61" s="232"/>
      <c r="O61" s="235"/>
      <c r="P61" s="225"/>
      <c r="Q61" s="225"/>
      <c r="R61" s="225"/>
    </row>
    <row r="62" spans="1:18" ht="15.75" customHeight="1">
      <c r="A62" s="271" t="s">
        <v>218</v>
      </c>
      <c r="B62" s="260" t="s">
        <v>219</v>
      </c>
      <c r="C62" s="77" t="s">
        <v>220</v>
      </c>
      <c r="D62" s="78">
        <v>1090022433</v>
      </c>
      <c r="E62" s="77"/>
      <c r="F62" s="77"/>
      <c r="G62" s="77" t="s">
        <v>202</v>
      </c>
      <c r="H62" s="77" t="s">
        <v>202</v>
      </c>
      <c r="I62" s="77" t="s">
        <v>221</v>
      </c>
      <c r="J62" s="236"/>
      <c r="K62" s="236" t="s">
        <v>148</v>
      </c>
      <c r="L62" s="236"/>
      <c r="M62" s="238"/>
      <c r="N62" s="236"/>
      <c r="O62" s="80"/>
      <c r="P62" s="239"/>
      <c r="Q62" s="239"/>
      <c r="R62" s="239"/>
    </row>
    <row r="63" spans="1:18" ht="15.75" customHeight="1">
      <c r="A63" s="272"/>
      <c r="B63" s="230"/>
      <c r="C63" s="77" t="s">
        <v>222</v>
      </c>
      <c r="D63" s="82">
        <v>1027213197</v>
      </c>
      <c r="E63" s="77"/>
      <c r="F63" s="77"/>
      <c r="G63" s="77"/>
      <c r="H63" s="77"/>
      <c r="I63" s="77" t="s">
        <v>210</v>
      </c>
      <c r="J63" s="230"/>
      <c r="K63" s="230"/>
      <c r="L63" s="230"/>
      <c r="M63" s="230"/>
      <c r="N63" s="230"/>
      <c r="O63" s="80"/>
      <c r="P63" s="224"/>
      <c r="Q63" s="224"/>
      <c r="R63" s="224"/>
    </row>
    <row r="64" spans="1:18" ht="15.75" customHeight="1">
      <c r="A64" s="272"/>
      <c r="B64" s="230"/>
      <c r="C64" s="77"/>
      <c r="D64" s="83"/>
      <c r="E64" s="77"/>
      <c r="F64" s="77"/>
      <c r="G64" s="77"/>
      <c r="H64" s="77"/>
      <c r="I64" s="77"/>
      <c r="J64" s="230"/>
      <c r="K64" s="236" t="str">
        <f ca="1">IFERROR(__xludf.DUMMYFUNCTION("TEXTJOIN("" . "", TRUE, 
ARRAYFORMULA(
  {""A+"", ""A-"", ""B+"", ""B-"", ""O+"", ""O-"", ""AB+"", ""AB-""} &amp; 
  IMPORTRANGE(""https://docs.google.com/spreadsheets/d/1mpguJPr_mG_nGzxczFne84Im0A-cnZAsGvfJ90SyeLk/edit?gid=0#gid=0"", ""STOCK Mang!F11:M11"")
"&amp;"))
"),"#REF!")</f>
        <v>#REF!</v>
      </c>
      <c r="L64" s="230"/>
      <c r="M64" s="230"/>
      <c r="N64" s="230"/>
      <c r="O64" s="80"/>
      <c r="P64" s="224"/>
      <c r="Q64" s="224"/>
      <c r="R64" s="224"/>
    </row>
    <row r="65" spans="1:18" ht="15.75" customHeight="1">
      <c r="A65" s="272"/>
      <c r="B65" s="230"/>
      <c r="C65" s="77"/>
      <c r="D65" s="83"/>
      <c r="E65" s="77"/>
      <c r="F65" s="77"/>
      <c r="G65" s="77"/>
      <c r="H65" s="77"/>
      <c r="I65" s="77"/>
      <c r="J65" s="230"/>
      <c r="K65" s="230"/>
      <c r="L65" s="230"/>
      <c r="M65" s="230"/>
      <c r="N65" s="230"/>
      <c r="O65" s="80"/>
      <c r="P65" s="224"/>
      <c r="Q65" s="224"/>
      <c r="R65" s="224"/>
    </row>
    <row r="66" spans="1:18" ht="15.75" customHeight="1">
      <c r="A66" s="272"/>
      <c r="B66" s="230"/>
      <c r="C66" s="77"/>
      <c r="D66" s="83"/>
      <c r="E66" s="77"/>
      <c r="F66" s="77"/>
      <c r="G66" s="77"/>
      <c r="H66" s="77"/>
      <c r="I66" s="77"/>
      <c r="J66" s="230"/>
      <c r="K66" s="230"/>
      <c r="L66" s="230"/>
      <c r="M66" s="230"/>
      <c r="N66" s="230"/>
      <c r="O66" s="80"/>
      <c r="P66" s="224"/>
      <c r="Q66" s="224"/>
      <c r="R66" s="224"/>
    </row>
    <row r="67" spans="1:18" ht="15.75" customHeight="1">
      <c r="A67" s="272"/>
      <c r="B67" s="230"/>
      <c r="C67" s="77"/>
      <c r="D67" s="84"/>
      <c r="E67" s="77"/>
      <c r="F67" s="77"/>
      <c r="G67" s="77"/>
      <c r="H67" s="77"/>
      <c r="I67" s="77"/>
      <c r="J67" s="230"/>
      <c r="K67" s="230"/>
      <c r="L67" s="230"/>
      <c r="M67" s="230"/>
      <c r="N67" s="230"/>
      <c r="O67" s="80"/>
      <c r="P67" s="224"/>
      <c r="Q67" s="224"/>
      <c r="R67" s="224"/>
    </row>
    <row r="68" spans="1:18" ht="15.75" customHeight="1">
      <c r="A68" s="272"/>
      <c r="B68" s="230"/>
      <c r="C68" s="77"/>
      <c r="D68" s="83"/>
      <c r="E68" s="77"/>
      <c r="F68" s="77"/>
      <c r="G68" s="77"/>
      <c r="H68" s="77"/>
      <c r="I68" s="77"/>
      <c r="J68" s="230"/>
      <c r="K68" s="230"/>
      <c r="L68" s="230"/>
      <c r="M68" s="230"/>
      <c r="N68" s="230"/>
      <c r="O68" s="80"/>
      <c r="P68" s="224"/>
      <c r="Q68" s="224"/>
      <c r="R68" s="224"/>
    </row>
    <row r="69" spans="1:18" ht="15.75" customHeight="1">
      <c r="A69" s="272"/>
      <c r="B69" s="230"/>
      <c r="C69" s="77"/>
      <c r="D69" s="83"/>
      <c r="E69" s="77"/>
      <c r="F69" s="77"/>
      <c r="G69" s="77"/>
      <c r="H69" s="77"/>
      <c r="I69" s="77"/>
      <c r="J69" s="230"/>
      <c r="K69" s="230"/>
      <c r="L69" s="230"/>
      <c r="M69" s="230"/>
      <c r="N69" s="230"/>
      <c r="O69" s="80"/>
      <c r="P69" s="224"/>
      <c r="Q69" s="224"/>
      <c r="R69" s="224"/>
    </row>
    <row r="70" spans="1:18" ht="15.75" customHeight="1">
      <c r="A70" s="272"/>
      <c r="B70" s="230"/>
      <c r="C70" s="77"/>
      <c r="D70" s="83"/>
      <c r="E70" s="77"/>
      <c r="F70" s="77"/>
      <c r="G70" s="77"/>
      <c r="H70" s="77"/>
      <c r="I70" s="77"/>
      <c r="J70" s="230"/>
      <c r="K70" s="230"/>
      <c r="L70" s="230"/>
      <c r="M70" s="230"/>
      <c r="N70" s="230"/>
      <c r="O70" s="80"/>
      <c r="P70" s="224"/>
      <c r="Q70" s="224"/>
      <c r="R70" s="224"/>
    </row>
    <row r="71" spans="1:18" ht="15.75" customHeight="1">
      <c r="A71" s="272"/>
      <c r="B71" s="230"/>
      <c r="C71" s="77" t="s">
        <v>223</v>
      </c>
      <c r="D71" s="83">
        <v>1032976994</v>
      </c>
      <c r="E71" s="77"/>
      <c r="F71" s="77"/>
      <c r="G71" s="77" t="s">
        <v>185</v>
      </c>
      <c r="H71" s="77"/>
      <c r="I71" s="77"/>
      <c r="J71" s="230"/>
      <c r="K71" s="230"/>
      <c r="L71" s="230"/>
      <c r="M71" s="230"/>
      <c r="N71" s="230"/>
      <c r="O71" s="80"/>
      <c r="P71" s="224"/>
      <c r="Q71" s="224"/>
      <c r="R71" s="224"/>
    </row>
    <row r="72" spans="1:18" ht="15.75" customHeight="1">
      <c r="A72" s="272"/>
      <c r="B72" s="230"/>
      <c r="C72" s="77" t="s">
        <v>224</v>
      </c>
      <c r="D72" s="83">
        <v>1201567927</v>
      </c>
      <c r="E72" s="77"/>
      <c r="F72" s="77"/>
      <c r="G72" s="77" t="s">
        <v>225</v>
      </c>
      <c r="H72" s="77"/>
      <c r="I72" s="77"/>
      <c r="J72" s="230"/>
      <c r="K72" s="230"/>
      <c r="L72" s="230"/>
      <c r="M72" s="230"/>
      <c r="N72" s="230"/>
      <c r="O72" s="80"/>
      <c r="P72" s="224"/>
      <c r="Q72" s="224"/>
      <c r="R72" s="224"/>
    </row>
    <row r="73" spans="1:18" ht="16.5" customHeight="1">
      <c r="A73" s="272"/>
      <c r="B73" s="230"/>
      <c r="C73" s="77" t="s">
        <v>226</v>
      </c>
      <c r="D73" s="83">
        <v>1016654788</v>
      </c>
      <c r="E73" s="77"/>
      <c r="F73" s="77"/>
      <c r="G73" s="77" t="s">
        <v>225</v>
      </c>
      <c r="H73" s="77"/>
      <c r="I73" s="77"/>
      <c r="J73" s="230"/>
      <c r="K73" s="230"/>
      <c r="L73" s="230"/>
      <c r="M73" s="230"/>
      <c r="N73" s="230"/>
      <c r="O73" s="80"/>
      <c r="P73" s="224"/>
      <c r="Q73" s="224"/>
      <c r="R73" s="224"/>
    </row>
    <row r="74" spans="1:18" ht="16.5" customHeight="1" thickBot="1">
      <c r="A74" s="272"/>
      <c r="B74" s="230"/>
      <c r="C74" s="77" t="s">
        <v>227</v>
      </c>
      <c r="D74" s="85">
        <v>1040982077</v>
      </c>
      <c r="E74" s="77"/>
      <c r="F74" s="77"/>
      <c r="G74" s="77" t="s">
        <v>228</v>
      </c>
      <c r="H74" s="77"/>
      <c r="I74" s="77"/>
      <c r="J74" s="237"/>
      <c r="K74" s="232"/>
      <c r="L74" s="237"/>
      <c r="M74" s="232"/>
      <c r="N74" s="237"/>
      <c r="O74" s="86"/>
      <c r="P74" s="240"/>
      <c r="Q74" s="240"/>
      <c r="R74" s="240"/>
    </row>
    <row r="75" spans="1:18" ht="16.5" customHeight="1">
      <c r="A75" s="272"/>
      <c r="B75" s="230"/>
      <c r="C75" s="77" t="s">
        <v>229</v>
      </c>
      <c r="D75" s="87">
        <v>128158255</v>
      </c>
      <c r="E75" s="77" t="s">
        <v>230</v>
      </c>
      <c r="F75" s="77"/>
      <c r="G75" s="77" t="s">
        <v>231</v>
      </c>
      <c r="H75" s="77"/>
      <c r="I75" s="77"/>
      <c r="J75" s="79"/>
      <c r="K75" s="236" t="s">
        <v>148</v>
      </c>
      <c r="L75" s="238"/>
      <c r="M75" s="238"/>
      <c r="N75" s="238"/>
      <c r="O75" s="242"/>
      <c r="P75" s="239"/>
      <c r="Q75" s="239"/>
      <c r="R75" s="239"/>
    </row>
    <row r="76" spans="1:18" ht="16.5" customHeight="1">
      <c r="A76" s="272"/>
      <c r="B76" s="230"/>
      <c r="C76" s="77" t="s">
        <v>232</v>
      </c>
      <c r="D76" s="87">
        <v>102622126</v>
      </c>
      <c r="E76" s="77"/>
      <c r="F76" s="77" t="s">
        <v>233</v>
      </c>
      <c r="G76" s="77" t="s">
        <v>228</v>
      </c>
      <c r="H76" s="77"/>
      <c r="I76" s="77"/>
      <c r="J76" s="79"/>
      <c r="K76" s="230"/>
      <c r="L76" s="230"/>
      <c r="M76" s="230"/>
      <c r="N76" s="230"/>
      <c r="O76" s="234"/>
      <c r="P76" s="224"/>
      <c r="Q76" s="224"/>
      <c r="R76" s="224"/>
    </row>
    <row r="77" spans="1:18" ht="16.5" customHeight="1">
      <c r="A77" s="272"/>
      <c r="B77" s="230"/>
      <c r="C77" s="77"/>
      <c r="D77" s="87"/>
      <c r="E77" s="77"/>
      <c r="F77" s="77"/>
      <c r="G77" s="77"/>
      <c r="H77" s="77"/>
      <c r="I77" s="77"/>
      <c r="J77" s="79"/>
      <c r="K77" s="230"/>
      <c r="L77" s="230"/>
      <c r="M77" s="230"/>
      <c r="N77" s="230"/>
      <c r="O77" s="234"/>
      <c r="P77" s="224"/>
      <c r="Q77" s="224"/>
      <c r="R77" s="224"/>
    </row>
    <row r="78" spans="1:18" ht="16.5" customHeight="1">
      <c r="A78" s="272"/>
      <c r="B78" s="230"/>
      <c r="C78" s="77"/>
      <c r="D78" s="87"/>
      <c r="E78" s="77"/>
      <c r="F78" s="77"/>
      <c r="G78" s="77"/>
      <c r="H78" s="77"/>
      <c r="I78" s="77"/>
      <c r="J78" s="79"/>
      <c r="K78" s="230"/>
      <c r="L78" s="230"/>
      <c r="M78" s="230"/>
      <c r="N78" s="230"/>
      <c r="O78" s="234"/>
      <c r="P78" s="224"/>
      <c r="Q78" s="224"/>
      <c r="R78" s="224"/>
    </row>
    <row r="79" spans="1:18" ht="16.5" customHeight="1">
      <c r="A79" s="272"/>
      <c r="B79" s="230"/>
      <c r="C79" s="77"/>
      <c r="D79" s="87"/>
      <c r="E79" s="77"/>
      <c r="F79" s="77"/>
      <c r="G79" s="77"/>
      <c r="H79" s="77"/>
      <c r="I79" s="77"/>
      <c r="J79" s="79"/>
      <c r="K79" s="236" t="str">
        <f ca="1">IFERROR(__xludf.DUMMYFUNCTION("TEXTJOIN("" . "", TRUE, 
ARRAYFORMULA(
  {""A+"", ""A-"", ""B+"", ""B-"", ""O+"", ""O-"", ""AB+"", ""AB-""} &amp; 
  IMPORTRANGE(""https://docs.google.com/spreadsheets/d/1mpguJPr_mG_nGzxczFne84Im0A-cnZAsGvfJ90SyeLk/edit?gid=0#gid=0"", ""STOCK Mang!F11:M11"")
"&amp;"))
"),"#REF!")</f>
        <v>#REF!</v>
      </c>
      <c r="L79" s="230"/>
      <c r="M79" s="230"/>
      <c r="N79" s="230"/>
      <c r="O79" s="234"/>
      <c r="P79" s="224"/>
      <c r="Q79" s="224"/>
      <c r="R79" s="224"/>
    </row>
    <row r="80" spans="1:18" ht="16.5" customHeight="1">
      <c r="A80" s="272"/>
      <c r="B80" s="230"/>
      <c r="C80" s="77"/>
      <c r="D80" s="87"/>
      <c r="E80" s="77"/>
      <c r="F80" s="77"/>
      <c r="G80" s="77"/>
      <c r="H80" s="77"/>
      <c r="I80" s="77"/>
      <c r="J80" s="79"/>
      <c r="K80" s="230"/>
      <c r="L80" s="230"/>
      <c r="M80" s="230"/>
      <c r="N80" s="230"/>
      <c r="O80" s="234"/>
      <c r="P80" s="224"/>
      <c r="Q80" s="224"/>
      <c r="R80" s="224"/>
    </row>
    <row r="81" spans="1:18" ht="16.5" customHeight="1">
      <c r="A81" s="272"/>
      <c r="B81" s="230"/>
      <c r="C81" s="77"/>
      <c r="D81" s="87"/>
      <c r="E81" s="77"/>
      <c r="F81" s="77"/>
      <c r="G81" s="77"/>
      <c r="H81" s="77"/>
      <c r="I81" s="77"/>
      <c r="J81" s="79"/>
      <c r="K81" s="230"/>
      <c r="L81" s="230"/>
      <c r="M81" s="230"/>
      <c r="N81" s="230"/>
      <c r="O81" s="234"/>
      <c r="P81" s="224"/>
      <c r="Q81" s="224"/>
      <c r="R81" s="224"/>
    </row>
    <row r="82" spans="1:18" ht="16.5" customHeight="1">
      <c r="A82" s="272"/>
      <c r="B82" s="230"/>
      <c r="C82" s="77"/>
      <c r="D82" s="87"/>
      <c r="E82" s="77"/>
      <c r="F82" s="77"/>
      <c r="G82" s="77"/>
      <c r="H82" s="77"/>
      <c r="I82" s="77"/>
      <c r="J82" s="79"/>
      <c r="K82" s="230"/>
      <c r="L82" s="230"/>
      <c r="M82" s="230"/>
      <c r="N82" s="230"/>
      <c r="O82" s="234"/>
      <c r="P82" s="224"/>
      <c r="Q82" s="224"/>
      <c r="R82" s="224"/>
    </row>
    <row r="83" spans="1:18" ht="16.5" customHeight="1">
      <c r="A83" s="272"/>
      <c r="B83" s="230"/>
      <c r="C83" s="77"/>
      <c r="D83" s="87"/>
      <c r="E83" s="77"/>
      <c r="F83" s="77"/>
      <c r="G83" s="77"/>
      <c r="H83" s="77"/>
      <c r="I83" s="77"/>
      <c r="J83" s="79"/>
      <c r="K83" s="230"/>
      <c r="L83" s="230"/>
      <c r="M83" s="230"/>
      <c r="N83" s="230"/>
      <c r="O83" s="234"/>
      <c r="P83" s="224"/>
      <c r="Q83" s="224"/>
      <c r="R83" s="224"/>
    </row>
    <row r="84" spans="1:18" ht="16.5" customHeight="1" thickBot="1">
      <c r="A84" s="272"/>
      <c r="B84" s="232"/>
      <c r="C84" s="77"/>
      <c r="D84" s="87"/>
      <c r="E84" s="77"/>
      <c r="F84" s="77"/>
      <c r="G84" s="77"/>
      <c r="H84" s="77"/>
      <c r="I84" s="77"/>
      <c r="J84" s="79"/>
      <c r="K84" s="232"/>
      <c r="L84" s="232"/>
      <c r="M84" s="232"/>
      <c r="N84" s="232"/>
      <c r="O84" s="234"/>
      <c r="P84" s="224"/>
      <c r="Q84" s="224"/>
      <c r="R84" s="224"/>
    </row>
    <row r="85" spans="1:18" ht="26.25" customHeight="1">
      <c r="A85" s="272"/>
      <c r="B85" s="260" t="s">
        <v>33</v>
      </c>
      <c r="C85" s="88" t="s">
        <v>234</v>
      </c>
      <c r="D85" s="89">
        <v>108880999</v>
      </c>
      <c r="E85" s="90"/>
      <c r="F85" s="90" t="s">
        <v>235</v>
      </c>
      <c r="G85" s="90" t="s">
        <v>236</v>
      </c>
      <c r="H85" s="91" t="s">
        <v>188</v>
      </c>
      <c r="I85" s="92"/>
      <c r="J85" s="238" t="s">
        <v>147</v>
      </c>
      <c r="K85" s="236" t="s">
        <v>148</v>
      </c>
      <c r="L85" s="238" t="s">
        <v>149</v>
      </c>
      <c r="M85" s="238" t="s">
        <v>147</v>
      </c>
      <c r="N85" s="238" t="s">
        <v>150</v>
      </c>
      <c r="O85" s="242" t="s">
        <v>237</v>
      </c>
      <c r="P85" s="241" t="s">
        <v>238</v>
      </c>
      <c r="Q85" s="241"/>
      <c r="R85" s="241"/>
    </row>
    <row r="86" spans="1:18" ht="26.25" customHeight="1">
      <c r="A86" s="272"/>
      <c r="B86" s="230"/>
      <c r="C86" s="93" t="s">
        <v>239</v>
      </c>
      <c r="D86" s="94">
        <v>1097673941</v>
      </c>
      <c r="E86" s="94"/>
      <c r="F86" s="94"/>
      <c r="G86" s="94"/>
      <c r="H86" s="95"/>
      <c r="I86" s="96" t="s">
        <v>240</v>
      </c>
      <c r="J86" s="230"/>
      <c r="K86" s="230"/>
      <c r="L86" s="230"/>
      <c r="M86" s="230"/>
      <c r="N86" s="230"/>
      <c r="O86" s="234"/>
      <c r="P86" s="224"/>
      <c r="Q86" s="224"/>
      <c r="R86" s="224"/>
    </row>
    <row r="87" spans="1:18" ht="26.25" customHeight="1">
      <c r="A87" s="272"/>
      <c r="B87" s="230"/>
      <c r="C87" s="93" t="s">
        <v>241</v>
      </c>
      <c r="D87" s="94">
        <v>1099569696</v>
      </c>
      <c r="E87" s="94" t="s">
        <v>240</v>
      </c>
      <c r="F87" s="94"/>
      <c r="G87" s="94"/>
      <c r="H87" s="95"/>
      <c r="I87" s="96"/>
      <c r="J87" s="230"/>
      <c r="K87" s="236" t="str">
        <f ca="1">IFERROR(__xludf.DUMMYFUNCTION("TEXTJOIN("" . "", TRUE, 
ARRAYFORMULA(
  {""A+"", ""A-"", ""B+"", ""B-"", ""O+"", ""O-"", ""AB+"", ""AB-""} &amp; 
  IMPORTRANGE(""https://docs.google.com/spreadsheets/d/1mpguJPr_mG_nGzxczFne84Im0A-cnZAsGvfJ90SyeLk/edit?gid=0#gid=0"", ""STOCK Mang!F12:M12"")
"&amp;"))
"),"#REF!")</f>
        <v>#REF!</v>
      </c>
      <c r="L87" s="230"/>
      <c r="M87" s="230"/>
      <c r="N87" s="230"/>
      <c r="O87" s="234"/>
      <c r="P87" s="224"/>
      <c r="Q87" s="224"/>
      <c r="R87" s="224"/>
    </row>
    <row r="88" spans="1:18" ht="26.25" customHeight="1" thickBot="1">
      <c r="A88" s="272"/>
      <c r="B88" s="232"/>
      <c r="C88" s="97" t="s">
        <v>242</v>
      </c>
      <c r="D88" s="98">
        <v>1022883289</v>
      </c>
      <c r="E88" s="98"/>
      <c r="F88" s="98" t="s">
        <v>236</v>
      </c>
      <c r="G88" s="98" t="s">
        <v>235</v>
      </c>
      <c r="H88" s="98" t="s">
        <v>243</v>
      </c>
      <c r="I88" s="98"/>
      <c r="J88" s="232"/>
      <c r="K88" s="232"/>
      <c r="L88" s="232"/>
      <c r="M88" s="232"/>
      <c r="N88" s="232"/>
      <c r="O88" s="243"/>
      <c r="P88" s="225"/>
      <c r="Q88" s="225"/>
      <c r="R88" s="225"/>
    </row>
    <row r="89" spans="1:18" ht="15.75" customHeight="1">
      <c r="A89" s="272"/>
      <c r="B89" s="268" t="s">
        <v>244</v>
      </c>
      <c r="C89" s="100" t="s">
        <v>245</v>
      </c>
      <c r="D89" s="101">
        <v>1005473226</v>
      </c>
      <c r="E89" s="101" t="s">
        <v>246</v>
      </c>
      <c r="F89" s="101" t="s">
        <v>246</v>
      </c>
      <c r="G89" s="90" t="s">
        <v>236</v>
      </c>
      <c r="H89" s="100" t="s">
        <v>247</v>
      </c>
      <c r="I89" s="102"/>
      <c r="J89" s="238" t="s">
        <v>147</v>
      </c>
      <c r="K89" s="236" t="s">
        <v>148</v>
      </c>
      <c r="L89" s="236" t="s">
        <v>149</v>
      </c>
      <c r="M89" s="236" t="s">
        <v>147</v>
      </c>
      <c r="N89" s="236" t="s">
        <v>150</v>
      </c>
      <c r="O89" s="242" t="s">
        <v>237</v>
      </c>
      <c r="P89" s="241" t="s">
        <v>238</v>
      </c>
      <c r="Q89" s="239"/>
      <c r="R89" s="239"/>
    </row>
    <row r="90" spans="1:18" ht="15.75" customHeight="1">
      <c r="A90" s="272"/>
      <c r="B90" s="230"/>
      <c r="C90" s="103" t="s">
        <v>248</v>
      </c>
      <c r="D90" s="83" t="s">
        <v>249</v>
      </c>
      <c r="E90" s="83" t="s">
        <v>250</v>
      </c>
      <c r="F90" s="83"/>
      <c r="G90" s="83"/>
      <c r="H90" s="103"/>
      <c r="I90" s="104" t="s">
        <v>251</v>
      </c>
      <c r="J90" s="230"/>
      <c r="K90" s="230"/>
      <c r="L90" s="230"/>
      <c r="M90" s="230"/>
      <c r="N90" s="230"/>
      <c r="O90" s="234"/>
      <c r="P90" s="224"/>
      <c r="Q90" s="224"/>
      <c r="R90" s="224"/>
    </row>
    <row r="91" spans="1:18" ht="15.75" customHeight="1">
      <c r="A91" s="272"/>
      <c r="B91" s="230"/>
      <c r="C91" s="103" t="s">
        <v>252</v>
      </c>
      <c r="D91" s="83" t="s">
        <v>253</v>
      </c>
      <c r="E91" s="83"/>
      <c r="F91" s="83"/>
      <c r="G91" s="83"/>
      <c r="H91" s="103" t="s">
        <v>254</v>
      </c>
      <c r="I91" s="104" t="s">
        <v>246</v>
      </c>
      <c r="J91" s="230"/>
      <c r="K91" s="79" t="s">
        <v>255</v>
      </c>
      <c r="L91" s="230"/>
      <c r="M91" s="230"/>
      <c r="N91" s="230"/>
      <c r="O91" s="234"/>
      <c r="P91" s="224"/>
      <c r="Q91" s="224"/>
      <c r="R91" s="224"/>
    </row>
    <row r="92" spans="1:18" ht="15.75" customHeight="1" thickBot="1">
      <c r="A92" s="272"/>
      <c r="B92" s="230"/>
      <c r="C92" s="103" t="s">
        <v>256</v>
      </c>
      <c r="D92" s="83">
        <f>201220044913</f>
        <v>201220044913</v>
      </c>
      <c r="E92" s="83" t="s">
        <v>257</v>
      </c>
      <c r="F92" s="83" t="s">
        <v>258</v>
      </c>
      <c r="G92" s="98" t="s">
        <v>235</v>
      </c>
      <c r="H92" s="105"/>
      <c r="I92" s="106"/>
      <c r="J92" s="230"/>
      <c r="K92" s="79"/>
      <c r="L92" s="230"/>
      <c r="M92" s="230"/>
      <c r="N92" s="230"/>
      <c r="O92" s="234"/>
      <c r="P92" s="224"/>
      <c r="Q92" s="224"/>
      <c r="R92" s="224"/>
    </row>
    <row r="93" spans="1:18" ht="15.75" customHeight="1" thickTop="1" thickBot="1">
      <c r="A93" s="272"/>
      <c r="B93" s="232"/>
      <c r="C93" s="105"/>
      <c r="D93" s="85"/>
      <c r="E93" s="85"/>
      <c r="F93" s="85"/>
      <c r="G93" s="85"/>
      <c r="H93" s="107"/>
      <c r="I93" s="107"/>
      <c r="J93" s="232"/>
      <c r="K93" s="108"/>
      <c r="L93" s="237"/>
      <c r="M93" s="237"/>
      <c r="N93" s="237"/>
      <c r="O93" s="243"/>
      <c r="P93" s="225"/>
      <c r="Q93" s="240"/>
      <c r="R93" s="240"/>
    </row>
    <row r="94" spans="1:18" ht="15.75" customHeight="1">
      <c r="A94" s="272"/>
      <c r="B94" s="260" t="s">
        <v>39</v>
      </c>
      <c r="C94" s="109" t="s">
        <v>259</v>
      </c>
      <c r="D94" s="110">
        <v>201009441825</v>
      </c>
      <c r="E94" s="109" t="s">
        <v>260</v>
      </c>
      <c r="F94" s="109" t="s">
        <v>185</v>
      </c>
      <c r="G94" s="109" t="s">
        <v>185</v>
      </c>
      <c r="H94" s="111"/>
      <c r="I94" s="111"/>
      <c r="J94" s="238" t="s">
        <v>147</v>
      </c>
      <c r="K94" s="236" t="s">
        <v>148</v>
      </c>
      <c r="L94" s="238" t="s">
        <v>149</v>
      </c>
      <c r="M94" s="238" t="s">
        <v>147</v>
      </c>
      <c r="N94" s="238" t="s">
        <v>150</v>
      </c>
      <c r="O94" s="244" t="s">
        <v>261</v>
      </c>
      <c r="P94" s="241"/>
      <c r="Q94" s="241"/>
      <c r="R94" s="241"/>
    </row>
    <row r="95" spans="1:18" ht="15.75" customHeight="1">
      <c r="A95" s="272"/>
      <c r="B95" s="230"/>
      <c r="C95" s="112" t="s">
        <v>262</v>
      </c>
      <c r="D95" s="113">
        <v>1061791188</v>
      </c>
      <c r="E95" s="112" t="s">
        <v>233</v>
      </c>
      <c r="F95" s="112" t="s">
        <v>233</v>
      </c>
      <c r="G95" s="112" t="s">
        <v>260</v>
      </c>
      <c r="H95" s="107" t="s">
        <v>188</v>
      </c>
      <c r="I95" s="107"/>
      <c r="J95" s="230"/>
      <c r="K95" s="230"/>
      <c r="L95" s="230"/>
      <c r="M95" s="230"/>
      <c r="N95" s="230"/>
      <c r="O95" s="234"/>
      <c r="P95" s="224"/>
      <c r="Q95" s="224"/>
      <c r="R95" s="224"/>
    </row>
    <row r="96" spans="1:18" ht="15.75" customHeight="1">
      <c r="A96" s="272"/>
      <c r="B96" s="230"/>
      <c r="C96" s="112" t="s">
        <v>263</v>
      </c>
      <c r="D96" s="113">
        <v>1014615717</v>
      </c>
      <c r="E96" s="112"/>
      <c r="F96" s="112" t="s">
        <v>233</v>
      </c>
      <c r="G96" s="112" t="s">
        <v>264</v>
      </c>
      <c r="H96" s="107" t="s">
        <v>260</v>
      </c>
      <c r="I96" s="107"/>
      <c r="J96" s="230"/>
      <c r="K96" s="236" t="str">
        <f ca="1">IFERROR(__xludf.DUMMYFUNCTION("TEXTJOIN("" . "", TRUE, 
ARRAYFORMULA(
  {""A+"", ""A-"", ""B+"", ""B-"", ""O+"", ""O-"", ""AB+"", ""AB-""} &amp; 
  IMPORTRANGE(""https://docs.google.com/spreadsheets/d/1mpguJPr_mG_nGzxczFne84Im0A-cnZAsGvfJ90SyeLk/edit?gid=0#gid=0"", ""STOCK Mang!F14:M14"")
"&amp;"))
"),"#REF!")</f>
        <v>#REF!</v>
      </c>
      <c r="L96" s="230"/>
      <c r="M96" s="230"/>
      <c r="N96" s="230"/>
      <c r="O96" s="234"/>
      <c r="P96" s="224"/>
      <c r="Q96" s="224"/>
      <c r="R96" s="224"/>
    </row>
    <row r="97" spans="1:18" ht="15.75" customHeight="1">
      <c r="A97" s="272"/>
      <c r="B97" s="230"/>
      <c r="C97" s="112" t="s">
        <v>265</v>
      </c>
      <c r="D97" s="113">
        <v>201277735542</v>
      </c>
      <c r="E97" s="112"/>
      <c r="F97" s="112"/>
      <c r="G97" s="112" t="s">
        <v>233</v>
      </c>
      <c r="H97" s="107" t="s">
        <v>260</v>
      </c>
      <c r="I97" s="107"/>
      <c r="J97" s="230"/>
      <c r="K97" s="230"/>
      <c r="L97" s="230"/>
      <c r="M97" s="230"/>
      <c r="N97" s="230"/>
      <c r="O97" s="234"/>
      <c r="P97" s="224"/>
      <c r="Q97" s="224"/>
      <c r="R97" s="224"/>
    </row>
    <row r="98" spans="1:18" ht="15.75" customHeight="1">
      <c r="A98" s="272"/>
      <c r="B98" s="230"/>
      <c r="C98" s="112" t="s">
        <v>266</v>
      </c>
      <c r="D98" s="113">
        <v>201065358064</v>
      </c>
      <c r="E98" s="112" t="s">
        <v>185</v>
      </c>
      <c r="F98" s="112" t="s">
        <v>260</v>
      </c>
      <c r="G98" s="112"/>
      <c r="H98" s="107"/>
      <c r="I98" s="107"/>
      <c r="J98" s="230"/>
      <c r="K98" s="230"/>
      <c r="L98" s="230"/>
      <c r="M98" s="230"/>
      <c r="N98" s="230"/>
      <c r="O98" s="234"/>
      <c r="P98" s="224"/>
      <c r="Q98" s="224"/>
      <c r="R98" s="224"/>
    </row>
    <row r="99" spans="1:18" ht="15.75" customHeight="1">
      <c r="A99" s="272"/>
      <c r="B99" s="230"/>
      <c r="C99" s="112"/>
      <c r="D99" s="113"/>
      <c r="E99" s="112"/>
      <c r="F99" s="112"/>
      <c r="G99" s="112"/>
      <c r="H99" s="107"/>
      <c r="I99" s="107"/>
      <c r="J99" s="230"/>
      <c r="K99" s="230"/>
      <c r="L99" s="230"/>
      <c r="M99" s="230"/>
      <c r="N99" s="230"/>
      <c r="O99" s="234"/>
      <c r="P99" s="224"/>
      <c r="Q99" s="224"/>
      <c r="R99" s="224"/>
    </row>
    <row r="100" spans="1:18" ht="15.75" customHeight="1" thickBot="1">
      <c r="A100" s="272"/>
      <c r="B100" s="232"/>
      <c r="C100" s="114"/>
      <c r="D100" s="115"/>
      <c r="E100" s="114"/>
      <c r="F100" s="114"/>
      <c r="G100" s="114"/>
      <c r="H100" s="116"/>
      <c r="I100" s="116"/>
      <c r="J100" s="232"/>
      <c r="K100" s="237"/>
      <c r="L100" s="232"/>
      <c r="M100" s="232"/>
      <c r="N100" s="232"/>
      <c r="O100" s="235"/>
      <c r="P100" s="225"/>
      <c r="Q100" s="225"/>
      <c r="R100" s="225"/>
    </row>
    <row r="101" spans="1:18" ht="27.75" customHeight="1">
      <c r="A101" s="272"/>
      <c r="B101" s="260" t="s">
        <v>42</v>
      </c>
      <c r="C101" s="100" t="s">
        <v>267</v>
      </c>
      <c r="D101" s="101">
        <v>1005637599</v>
      </c>
      <c r="E101" s="102" t="s">
        <v>185</v>
      </c>
      <c r="F101" s="102" t="s">
        <v>185</v>
      </c>
      <c r="G101" s="102" t="s">
        <v>185</v>
      </c>
      <c r="H101" s="107" t="s">
        <v>185</v>
      </c>
      <c r="I101" s="107"/>
      <c r="J101" s="238"/>
      <c r="K101" s="236" t="s">
        <v>148</v>
      </c>
      <c r="L101" s="236"/>
      <c r="M101" s="236"/>
      <c r="N101" s="236"/>
      <c r="O101" s="242"/>
      <c r="P101" s="239"/>
      <c r="Q101" s="239"/>
      <c r="R101" s="239"/>
    </row>
    <row r="102" spans="1:18" ht="27" customHeight="1">
      <c r="A102" s="272"/>
      <c r="B102" s="230"/>
      <c r="C102" s="103" t="s">
        <v>268</v>
      </c>
      <c r="D102" s="103">
        <v>1093806264</v>
      </c>
      <c r="E102" s="112"/>
      <c r="F102" s="112"/>
      <c r="G102" s="112" t="s">
        <v>185</v>
      </c>
      <c r="H102" s="107"/>
      <c r="I102" s="107"/>
      <c r="J102" s="230"/>
      <c r="K102" s="230"/>
      <c r="L102" s="230"/>
      <c r="M102" s="230"/>
      <c r="N102" s="230"/>
      <c r="O102" s="234"/>
      <c r="P102" s="224"/>
      <c r="Q102" s="224"/>
      <c r="R102" s="224"/>
    </row>
    <row r="103" spans="1:18" ht="30.75" customHeight="1">
      <c r="A103" s="272"/>
      <c r="B103" s="230"/>
      <c r="C103" s="105" t="s">
        <v>269</v>
      </c>
      <c r="D103" s="105">
        <v>1006899756</v>
      </c>
      <c r="E103" s="117" t="s">
        <v>188</v>
      </c>
      <c r="F103" s="117" t="s">
        <v>188</v>
      </c>
      <c r="G103" s="117" t="s">
        <v>188</v>
      </c>
      <c r="H103" s="107"/>
      <c r="I103" s="107"/>
      <c r="J103" s="230"/>
      <c r="K103" s="236" t="str">
        <f ca="1">IFERROR(__xludf.DUMMYFUNCTION("TEXTJOIN("" . "", TRUE, 
ARRAYFORMULA(
  {""A+"", ""A-"", ""B+"", ""B-"", ""O+"", ""O-"", ""AB+"", ""AB-""} &amp; 
  IMPORTRANGE(""https://docs.google.com/spreadsheets/d/1mpguJPr_mG_nGzxczFne84Im0A-cnZAsGvfJ90SyeLk/edit?gid=0#gid=0"", ""STOCK Mang!F15:M15"")
"&amp;"))
"),"#REF!")</f>
        <v>#REF!</v>
      </c>
      <c r="L103" s="230"/>
      <c r="M103" s="230"/>
      <c r="N103" s="230"/>
      <c r="O103" s="234"/>
      <c r="P103" s="224"/>
      <c r="Q103" s="224"/>
      <c r="R103" s="224"/>
    </row>
    <row r="104" spans="1:18" ht="30.75" customHeight="1">
      <c r="A104" s="272"/>
      <c r="B104" s="230"/>
      <c r="C104" s="105" t="s">
        <v>270</v>
      </c>
      <c r="D104" s="105">
        <v>1028265993</v>
      </c>
      <c r="E104" s="117"/>
      <c r="F104" s="117"/>
      <c r="G104" s="117"/>
      <c r="H104" s="107" t="s">
        <v>188</v>
      </c>
      <c r="I104" s="107"/>
      <c r="J104" s="230"/>
      <c r="K104" s="230"/>
      <c r="L104" s="230"/>
      <c r="M104" s="230"/>
      <c r="N104" s="230"/>
      <c r="O104" s="234"/>
      <c r="P104" s="224"/>
      <c r="Q104" s="224"/>
      <c r="R104" s="224"/>
    </row>
    <row r="105" spans="1:18" ht="30.75" customHeight="1" thickBot="1">
      <c r="A105" s="272"/>
      <c r="B105" s="232"/>
      <c r="C105" s="105"/>
      <c r="D105" s="105"/>
      <c r="E105" s="117"/>
      <c r="F105" s="117"/>
      <c r="G105" s="117"/>
      <c r="H105" s="107"/>
      <c r="I105" s="107"/>
      <c r="J105" s="232"/>
      <c r="K105" s="232"/>
      <c r="L105" s="246"/>
      <c r="M105" s="246"/>
      <c r="N105" s="246"/>
      <c r="O105" s="243"/>
      <c r="P105" s="245"/>
      <c r="Q105" s="245"/>
      <c r="R105" s="245"/>
    </row>
    <row r="106" spans="1:18" ht="15.75" customHeight="1">
      <c r="A106" s="272"/>
      <c r="B106" s="260" t="s">
        <v>271</v>
      </c>
      <c r="C106" s="118" t="s">
        <v>272</v>
      </c>
      <c r="D106" s="119">
        <v>1094727594</v>
      </c>
      <c r="E106" s="119" t="s">
        <v>273</v>
      </c>
      <c r="F106" s="119" t="s">
        <v>274</v>
      </c>
      <c r="G106" s="119" t="s">
        <v>274</v>
      </c>
      <c r="H106" s="107"/>
      <c r="I106" s="107"/>
      <c r="J106" s="238" t="s">
        <v>147</v>
      </c>
      <c r="K106" s="247" t="s">
        <v>148</v>
      </c>
      <c r="L106" s="247" t="s">
        <v>149</v>
      </c>
      <c r="M106" s="247" t="s">
        <v>147</v>
      </c>
      <c r="N106" s="260"/>
      <c r="O106" s="257" t="s">
        <v>275</v>
      </c>
      <c r="P106" s="261"/>
      <c r="Q106" s="258"/>
      <c r="R106" s="258"/>
    </row>
    <row r="107" spans="1:18" ht="15.75" customHeight="1">
      <c r="A107" s="272"/>
      <c r="B107" s="230"/>
      <c r="C107" s="103" t="s">
        <v>276</v>
      </c>
      <c r="D107" s="83">
        <v>1004850205</v>
      </c>
      <c r="E107" s="83"/>
      <c r="F107" s="83"/>
      <c r="G107" s="83"/>
      <c r="H107" s="107" t="s">
        <v>274</v>
      </c>
      <c r="I107" s="107" t="s">
        <v>274</v>
      </c>
      <c r="J107" s="230"/>
      <c r="K107" s="230"/>
      <c r="L107" s="230"/>
      <c r="M107" s="230"/>
      <c r="N107" s="230"/>
      <c r="O107" s="230"/>
      <c r="P107" s="230"/>
      <c r="Q107" s="224"/>
      <c r="R107" s="224"/>
    </row>
    <row r="108" spans="1:18" ht="15.75" customHeight="1">
      <c r="A108" s="272"/>
      <c r="B108" s="230"/>
      <c r="C108" s="103" t="s">
        <v>277</v>
      </c>
      <c r="D108" s="83">
        <v>1095421873</v>
      </c>
      <c r="E108" s="83" t="s">
        <v>278</v>
      </c>
      <c r="F108" s="83" t="s">
        <v>278</v>
      </c>
      <c r="G108" s="83" t="s">
        <v>278</v>
      </c>
      <c r="H108" s="107"/>
      <c r="I108" s="107"/>
      <c r="J108" s="230"/>
      <c r="K108" s="236"/>
      <c r="L108" s="230"/>
      <c r="M108" s="230"/>
      <c r="N108" s="230"/>
      <c r="O108" s="230"/>
      <c r="P108" s="230"/>
      <c r="Q108" s="224"/>
      <c r="R108" s="224"/>
    </row>
    <row r="109" spans="1:18" ht="15.75" customHeight="1">
      <c r="A109" s="272"/>
      <c r="B109" s="230"/>
      <c r="C109" s="103" t="s">
        <v>279</v>
      </c>
      <c r="D109" s="83">
        <v>1020423025</v>
      </c>
      <c r="E109" s="83"/>
      <c r="F109" s="83"/>
      <c r="G109" s="83"/>
      <c r="H109" s="107" t="s">
        <v>278</v>
      </c>
      <c r="I109" s="107" t="s">
        <v>278</v>
      </c>
      <c r="J109" s="230"/>
      <c r="K109" s="230"/>
      <c r="L109" s="230"/>
      <c r="M109" s="230"/>
      <c r="N109" s="230"/>
      <c r="O109" s="230"/>
      <c r="P109" s="230"/>
      <c r="Q109" s="224"/>
      <c r="R109" s="224"/>
    </row>
    <row r="110" spans="1:18" ht="15.75" customHeight="1">
      <c r="A110" s="272"/>
      <c r="B110" s="230"/>
      <c r="C110" s="103" t="s">
        <v>280</v>
      </c>
      <c r="D110" s="83">
        <v>1007299766</v>
      </c>
      <c r="E110" s="83"/>
      <c r="F110" s="83"/>
      <c r="G110" s="83"/>
      <c r="H110" s="107"/>
      <c r="I110" s="107"/>
      <c r="J110" s="230"/>
      <c r="K110" s="230"/>
      <c r="L110" s="230"/>
      <c r="M110" s="230"/>
      <c r="N110" s="230"/>
      <c r="O110" s="230"/>
      <c r="P110" s="230"/>
      <c r="Q110" s="224"/>
      <c r="R110" s="224"/>
    </row>
    <row r="111" spans="1:18" ht="15.75" customHeight="1">
      <c r="A111" s="272"/>
      <c r="B111" s="230"/>
      <c r="C111" s="105"/>
      <c r="D111" s="83"/>
      <c r="E111" s="83"/>
      <c r="F111" s="83"/>
      <c r="G111" s="83"/>
      <c r="H111" s="107"/>
      <c r="I111" s="107"/>
      <c r="J111" s="230"/>
      <c r="K111" s="230"/>
      <c r="L111" s="230"/>
      <c r="M111" s="230"/>
      <c r="N111" s="230"/>
      <c r="O111" s="230"/>
      <c r="P111" s="230"/>
      <c r="Q111" s="224"/>
      <c r="R111" s="224"/>
    </row>
    <row r="112" spans="1:18" ht="15.75" customHeight="1">
      <c r="A112" s="272"/>
      <c r="B112" s="230"/>
      <c r="C112" s="103"/>
      <c r="D112" s="83"/>
      <c r="E112" s="83"/>
      <c r="F112" s="83"/>
      <c r="G112" s="83"/>
      <c r="H112" s="107"/>
      <c r="I112" s="107"/>
      <c r="J112" s="230"/>
      <c r="K112" s="230"/>
      <c r="L112" s="230"/>
      <c r="M112" s="230"/>
      <c r="N112" s="230"/>
      <c r="O112" s="230"/>
      <c r="P112" s="230"/>
      <c r="Q112" s="224"/>
      <c r="R112" s="224"/>
    </row>
    <row r="113" spans="1:18" ht="15.75" customHeight="1">
      <c r="A113" s="272"/>
      <c r="B113" s="230"/>
      <c r="C113" s="105"/>
      <c r="D113" s="83"/>
      <c r="E113" s="83"/>
      <c r="F113" s="83"/>
      <c r="G113" s="83"/>
      <c r="H113" s="107"/>
      <c r="I113" s="107"/>
      <c r="J113" s="230"/>
      <c r="K113" s="230"/>
      <c r="L113" s="230"/>
      <c r="M113" s="230"/>
      <c r="N113" s="230"/>
      <c r="O113" s="230"/>
      <c r="P113" s="230"/>
      <c r="Q113" s="224"/>
      <c r="R113" s="224"/>
    </row>
    <row r="114" spans="1:18" ht="15.75" customHeight="1">
      <c r="A114" s="272"/>
      <c r="B114" s="230"/>
      <c r="C114" s="105"/>
      <c r="D114" s="83"/>
      <c r="E114" s="83"/>
      <c r="F114" s="83"/>
      <c r="G114" s="83"/>
      <c r="H114" s="107"/>
      <c r="I114" s="107"/>
      <c r="J114" s="230"/>
      <c r="K114" s="230"/>
      <c r="L114" s="230"/>
      <c r="M114" s="230"/>
      <c r="N114" s="230"/>
      <c r="O114" s="230"/>
      <c r="P114" s="230"/>
      <c r="Q114" s="224"/>
      <c r="R114" s="224"/>
    </row>
    <row r="115" spans="1:18" ht="15.75" customHeight="1" thickBot="1">
      <c r="A115" s="272"/>
      <c r="B115" s="250"/>
      <c r="C115" s="121"/>
      <c r="D115" s="122"/>
      <c r="E115" s="122"/>
      <c r="F115" s="122"/>
      <c r="G115" s="122"/>
      <c r="H115" s="107"/>
      <c r="I115" s="107"/>
      <c r="J115" s="232"/>
      <c r="K115" s="246"/>
      <c r="L115" s="250"/>
      <c r="M115" s="250"/>
      <c r="N115" s="250"/>
      <c r="O115" s="250"/>
      <c r="P115" s="250"/>
      <c r="Q115" s="259"/>
      <c r="R115" s="259"/>
    </row>
    <row r="116" spans="1:18" ht="15.75" customHeight="1" thickTop="1">
      <c r="A116" s="272"/>
      <c r="B116" s="260" t="s">
        <v>281</v>
      </c>
      <c r="C116" s="100" t="s">
        <v>282</v>
      </c>
      <c r="D116" s="119">
        <v>1282562548</v>
      </c>
      <c r="E116" s="123"/>
      <c r="F116" s="123"/>
      <c r="G116" s="123"/>
      <c r="H116" s="107">
        <v>24</v>
      </c>
      <c r="I116" s="107">
        <v>18</v>
      </c>
      <c r="J116" s="238" t="s">
        <v>147</v>
      </c>
      <c r="K116" s="247" t="s">
        <v>148</v>
      </c>
      <c r="L116" s="124" t="s">
        <v>149</v>
      </c>
      <c r="M116" s="107" t="s">
        <v>283</v>
      </c>
      <c r="N116" s="236" t="s">
        <v>150</v>
      </c>
      <c r="O116" s="242" t="s">
        <v>284</v>
      </c>
      <c r="P116" s="239" t="s">
        <v>238</v>
      </c>
      <c r="Q116" s="258"/>
      <c r="R116" s="258"/>
    </row>
    <row r="117" spans="1:18" ht="15.75" customHeight="1">
      <c r="A117" s="272"/>
      <c r="B117" s="230"/>
      <c r="C117" s="103" t="s">
        <v>285</v>
      </c>
      <c r="D117" s="83">
        <v>1091276484</v>
      </c>
      <c r="E117" s="104"/>
      <c r="F117" s="104">
        <v>18</v>
      </c>
      <c r="G117" s="104">
        <v>18</v>
      </c>
      <c r="H117" s="104">
        <v>18</v>
      </c>
      <c r="I117" s="104">
        <v>12</v>
      </c>
      <c r="J117" s="230"/>
      <c r="K117" s="230"/>
      <c r="L117" s="82"/>
      <c r="M117" s="107" t="s">
        <v>286</v>
      </c>
      <c r="N117" s="230"/>
      <c r="O117" s="234"/>
      <c r="P117" s="224"/>
      <c r="Q117" s="224"/>
      <c r="R117" s="224"/>
    </row>
    <row r="118" spans="1:18" ht="15.75" customHeight="1">
      <c r="A118" s="272"/>
      <c r="B118" s="230"/>
      <c r="C118" s="103" t="s">
        <v>287</v>
      </c>
      <c r="D118" s="83">
        <v>1063878201</v>
      </c>
      <c r="E118" s="104">
        <v>18</v>
      </c>
      <c r="F118" s="104"/>
      <c r="G118" s="104"/>
      <c r="H118" s="107">
        <v>18</v>
      </c>
      <c r="I118" s="107">
        <v>18</v>
      </c>
      <c r="J118" s="230"/>
      <c r="K118" s="125" t="str">
        <f ca="1">IFERROR(__xludf.DUMMYFUNCTION("TEXTJOIN("" . "", TRUE, 
ARRAYFORMULA(
  {""A+"", ""A-"", ""B+"", ""B-"", ""O+"", ""O-"", ""AB+"", ""AB-""} &amp; 
  IMPORTRANGE(""https://docs.google.com/spreadsheets/d/1mpguJPr_mG_nGzxczFne84Im0A-cnZAsGvfJ90SyeLk/edit?gid=0#gid=0"", ""STOCK Mang!F17:M17"")
"&amp;"))
"),"#REF!")</f>
        <v>#REF!</v>
      </c>
      <c r="L118" s="82"/>
      <c r="M118" s="107"/>
      <c r="N118" s="230"/>
      <c r="O118" s="234"/>
      <c r="P118" s="224"/>
      <c r="Q118" s="224"/>
      <c r="R118" s="224"/>
    </row>
    <row r="119" spans="1:18" ht="15.75" customHeight="1">
      <c r="A119" s="272"/>
      <c r="B119" s="230"/>
      <c r="C119" s="103" t="s">
        <v>288</v>
      </c>
      <c r="D119" s="83">
        <v>1026424713</v>
      </c>
      <c r="E119" s="104">
        <v>18</v>
      </c>
      <c r="F119" s="104"/>
      <c r="G119" s="104"/>
      <c r="H119" s="104"/>
      <c r="I119" s="107"/>
      <c r="J119" s="230"/>
      <c r="K119" s="79"/>
      <c r="L119" s="82"/>
      <c r="M119" s="107"/>
      <c r="N119" s="230"/>
      <c r="O119" s="234"/>
      <c r="P119" s="224"/>
      <c r="Q119" s="224"/>
      <c r="R119" s="224"/>
    </row>
    <row r="120" spans="1:18" ht="15.75" customHeight="1">
      <c r="A120" s="272"/>
      <c r="B120" s="230"/>
      <c r="C120" s="103" t="s">
        <v>289</v>
      </c>
      <c r="D120" s="83">
        <v>1099381203</v>
      </c>
      <c r="E120" s="104"/>
      <c r="F120" s="104">
        <v>12</v>
      </c>
      <c r="G120" s="104">
        <v>6</v>
      </c>
      <c r="H120" s="107"/>
      <c r="I120" s="104">
        <v>12</v>
      </c>
      <c r="J120" s="230"/>
      <c r="K120" s="79"/>
      <c r="L120" s="82"/>
      <c r="M120" s="107"/>
      <c r="N120" s="237"/>
      <c r="O120" s="234"/>
      <c r="P120" s="224"/>
      <c r="Q120" s="224"/>
      <c r="R120" s="224"/>
    </row>
    <row r="121" spans="1:18" ht="15.75" customHeight="1" thickBot="1">
      <c r="A121" s="272"/>
      <c r="B121" s="250"/>
      <c r="C121" s="126" t="s">
        <v>290</v>
      </c>
      <c r="D121" s="122">
        <v>1090619008</v>
      </c>
      <c r="E121" s="127"/>
      <c r="F121" s="127"/>
      <c r="G121" s="127"/>
      <c r="H121" s="107"/>
      <c r="I121" s="107">
        <v>0</v>
      </c>
      <c r="J121" s="230"/>
      <c r="K121" s="79"/>
      <c r="L121" s="82"/>
      <c r="M121" s="107"/>
      <c r="N121" s="128"/>
      <c r="O121" s="243"/>
      <c r="P121" s="225"/>
      <c r="Q121" s="259"/>
      <c r="R121" s="259"/>
    </row>
    <row r="122" spans="1:18" ht="15.75" customHeight="1" thickTop="1">
      <c r="A122" s="272"/>
      <c r="B122" s="260" t="s">
        <v>48</v>
      </c>
      <c r="C122" s="100"/>
      <c r="D122" s="101"/>
      <c r="E122" s="102"/>
      <c r="F122" s="102"/>
      <c r="G122" s="102"/>
      <c r="H122" s="107"/>
      <c r="I122" s="107"/>
      <c r="J122" s="236"/>
      <c r="K122" s="247" t="s">
        <v>148</v>
      </c>
      <c r="L122" s="82"/>
      <c r="M122" s="107"/>
      <c r="N122" s="236"/>
      <c r="O122" s="86"/>
      <c r="P122" s="129"/>
      <c r="Q122" s="129"/>
      <c r="R122" s="129"/>
    </row>
    <row r="123" spans="1:18" ht="15.75" customHeight="1">
      <c r="A123" s="272"/>
      <c r="B123" s="230"/>
      <c r="C123" s="103"/>
      <c r="D123" s="83"/>
      <c r="E123" s="104"/>
      <c r="F123" s="104"/>
      <c r="G123" s="104"/>
      <c r="H123" s="107"/>
      <c r="I123" s="107"/>
      <c r="J123" s="230"/>
      <c r="K123" s="230"/>
      <c r="L123" s="82"/>
      <c r="M123" s="107"/>
      <c r="N123" s="230"/>
      <c r="O123" s="130"/>
      <c r="P123" s="131"/>
      <c r="Q123" s="131"/>
      <c r="R123" s="131"/>
    </row>
    <row r="124" spans="1:18" ht="15.75" customHeight="1">
      <c r="A124" s="272"/>
      <c r="B124" s="230"/>
      <c r="C124" s="103"/>
      <c r="D124" s="83"/>
      <c r="E124" s="104"/>
      <c r="F124" s="104"/>
      <c r="G124" s="104"/>
      <c r="H124" s="107"/>
      <c r="I124" s="107"/>
      <c r="J124" s="230"/>
      <c r="K124" s="236" t="str">
        <f ca="1">IFERROR(__xludf.DUMMYFUNCTION("TEXTJOIN("" . "", TRUE, 
ARRAYFORMULA(
  {""A+"", ""A-"", ""B+"", ""B-"", ""O+"", ""O-"", ""AB+"", ""AB-""} &amp; 
  IMPORTRANGE(""https://docs.google.com/spreadsheets/d/1mpguJPr_mG_nGzxczFne84Im0A-cnZAsGvfJ90SyeLk/edit?gid=0#gid=0"", ""STOCK Mang!F18:M18"")
"&amp;"))
"),"#REF!")</f>
        <v>#REF!</v>
      </c>
      <c r="L124" s="82"/>
      <c r="M124" s="107"/>
      <c r="N124" s="230"/>
      <c r="O124" s="130"/>
      <c r="P124" s="131"/>
      <c r="Q124" s="131"/>
      <c r="R124" s="131"/>
    </row>
    <row r="125" spans="1:18" ht="15.75" customHeight="1">
      <c r="A125" s="272"/>
      <c r="B125" s="230"/>
      <c r="C125" s="103"/>
      <c r="D125" s="83"/>
      <c r="E125" s="104"/>
      <c r="F125" s="104"/>
      <c r="G125" s="104"/>
      <c r="H125" s="107"/>
      <c r="I125" s="107"/>
      <c r="J125" s="230"/>
      <c r="K125" s="230"/>
      <c r="L125" s="82"/>
      <c r="M125" s="107"/>
      <c r="N125" s="230"/>
      <c r="O125" s="130"/>
      <c r="P125" s="131"/>
      <c r="Q125" s="131"/>
      <c r="R125" s="131"/>
    </row>
    <row r="126" spans="1:18" ht="15.75" customHeight="1">
      <c r="A126" s="272"/>
      <c r="B126" s="230"/>
      <c r="C126" s="103"/>
      <c r="D126" s="83"/>
      <c r="E126" s="104"/>
      <c r="F126" s="104"/>
      <c r="G126" s="104"/>
      <c r="H126" s="107"/>
      <c r="I126" s="107"/>
      <c r="J126" s="230"/>
      <c r="K126" s="230"/>
      <c r="L126" s="82"/>
      <c r="M126" s="107"/>
      <c r="N126" s="237"/>
      <c r="O126" s="130"/>
      <c r="P126" s="131"/>
      <c r="Q126" s="131"/>
      <c r="R126" s="131"/>
    </row>
    <row r="127" spans="1:18" ht="15.75" customHeight="1" thickBot="1">
      <c r="A127" s="273"/>
      <c r="B127" s="250"/>
      <c r="C127" s="126"/>
      <c r="D127" s="122"/>
      <c r="E127" s="127"/>
      <c r="F127" s="127"/>
      <c r="G127" s="127"/>
      <c r="H127" s="132"/>
      <c r="I127" s="132"/>
      <c r="J127" s="232"/>
      <c r="K127" s="230"/>
      <c r="L127" s="82"/>
      <c r="M127" s="132"/>
      <c r="N127" s="133"/>
      <c r="O127" s="134"/>
      <c r="P127" s="135"/>
      <c r="Q127" s="135"/>
      <c r="R127" s="135"/>
    </row>
    <row r="128" spans="1:18" ht="15.75" customHeight="1" thickTop="1">
      <c r="A128" s="349" t="s">
        <v>291</v>
      </c>
      <c r="B128" s="266" t="s">
        <v>292</v>
      </c>
      <c r="C128" s="136" t="s">
        <v>293</v>
      </c>
      <c r="D128" s="33">
        <v>1007448755</v>
      </c>
      <c r="E128" s="34" t="s">
        <v>185</v>
      </c>
      <c r="F128" s="34"/>
      <c r="G128" s="34"/>
      <c r="H128" s="35"/>
      <c r="I128" s="35"/>
      <c r="J128" s="256" t="s">
        <v>147</v>
      </c>
      <c r="K128" s="248" t="s">
        <v>148</v>
      </c>
      <c r="L128" s="249" t="s">
        <v>149</v>
      </c>
      <c r="M128" s="249" t="s">
        <v>147</v>
      </c>
      <c r="N128" s="229" t="s">
        <v>150</v>
      </c>
      <c r="O128" s="233" t="s">
        <v>294</v>
      </c>
      <c r="P128" s="262"/>
      <c r="Q128" s="262"/>
      <c r="R128" s="262"/>
    </row>
    <row r="129" spans="1:18" ht="15.75" customHeight="1">
      <c r="A129" s="272"/>
      <c r="B129" s="230"/>
      <c r="C129" s="36" t="s">
        <v>295</v>
      </c>
      <c r="D129" s="37">
        <v>1006471777</v>
      </c>
      <c r="E129" s="38"/>
      <c r="F129" s="38" t="s">
        <v>185</v>
      </c>
      <c r="G129" s="38"/>
      <c r="H129" s="35"/>
      <c r="I129" s="35"/>
      <c r="J129" s="214"/>
      <c r="K129" s="227"/>
      <c r="L129" s="230"/>
      <c r="M129" s="230"/>
      <c r="N129" s="230"/>
      <c r="O129" s="234"/>
      <c r="P129" s="224"/>
      <c r="Q129" s="224"/>
      <c r="R129" s="224"/>
    </row>
    <row r="130" spans="1:18" ht="15.75" customHeight="1">
      <c r="A130" s="272"/>
      <c r="B130" s="230"/>
      <c r="C130" s="36" t="s">
        <v>296</v>
      </c>
      <c r="D130" s="37">
        <v>1122577560</v>
      </c>
      <c r="E130" s="38" t="s">
        <v>260</v>
      </c>
      <c r="F130" s="38" t="s">
        <v>260</v>
      </c>
      <c r="G130" s="38" t="s">
        <v>260</v>
      </c>
      <c r="H130" s="35"/>
      <c r="I130" s="35" t="s">
        <v>260</v>
      </c>
      <c r="J130" s="214"/>
      <c r="K130" s="251" t="s">
        <v>297</v>
      </c>
      <c r="L130" s="230"/>
      <c r="M130" s="230"/>
      <c r="N130" s="230"/>
      <c r="O130" s="234"/>
      <c r="P130" s="224"/>
      <c r="Q130" s="224"/>
      <c r="R130" s="224"/>
    </row>
    <row r="131" spans="1:18" ht="15.75" customHeight="1">
      <c r="A131" s="272"/>
      <c r="B131" s="230"/>
      <c r="C131" s="36" t="s">
        <v>298</v>
      </c>
      <c r="D131" s="37">
        <v>1285335732</v>
      </c>
      <c r="E131" s="38" t="s">
        <v>260</v>
      </c>
      <c r="F131" s="38" t="s">
        <v>260</v>
      </c>
      <c r="G131" s="38" t="s">
        <v>260</v>
      </c>
      <c r="H131" s="35"/>
      <c r="I131" s="35"/>
      <c r="J131" s="214"/>
      <c r="K131" s="227"/>
      <c r="L131" s="230"/>
      <c r="M131" s="230"/>
      <c r="N131" s="230"/>
      <c r="O131" s="234"/>
      <c r="P131" s="224"/>
      <c r="Q131" s="224"/>
      <c r="R131" s="224"/>
    </row>
    <row r="132" spans="1:18" ht="15.75" customHeight="1">
      <c r="A132" s="272"/>
      <c r="B132" s="230"/>
      <c r="C132" s="36" t="s">
        <v>299</v>
      </c>
      <c r="D132" s="37">
        <v>1111590638</v>
      </c>
      <c r="E132" s="38"/>
      <c r="F132" s="38" t="s">
        <v>185</v>
      </c>
      <c r="G132" s="38" t="s">
        <v>185</v>
      </c>
      <c r="H132" s="35"/>
      <c r="I132" s="35"/>
      <c r="J132" s="214"/>
      <c r="K132" s="227"/>
      <c r="L132" s="230"/>
      <c r="M132" s="230"/>
      <c r="N132" s="230"/>
      <c r="O132" s="234"/>
      <c r="P132" s="224"/>
      <c r="Q132" s="224"/>
      <c r="R132" s="224"/>
    </row>
    <row r="133" spans="1:18" ht="15.75" customHeight="1">
      <c r="A133" s="272"/>
      <c r="B133" s="230"/>
      <c r="C133" s="36" t="s">
        <v>300</v>
      </c>
      <c r="D133" s="37">
        <v>1017345456</v>
      </c>
      <c r="E133" s="38" t="s">
        <v>260</v>
      </c>
      <c r="F133" s="38" t="s">
        <v>260</v>
      </c>
      <c r="G133" s="38" t="s">
        <v>260</v>
      </c>
      <c r="H133" s="35"/>
      <c r="I133" s="35"/>
      <c r="J133" s="214"/>
      <c r="K133" s="227"/>
      <c r="L133" s="230"/>
      <c r="M133" s="230"/>
      <c r="N133" s="230"/>
      <c r="O133" s="234"/>
      <c r="P133" s="224"/>
      <c r="Q133" s="224"/>
      <c r="R133" s="224"/>
    </row>
    <row r="134" spans="1:18" ht="15.75" customHeight="1">
      <c r="A134" s="272"/>
      <c r="B134" s="230"/>
      <c r="C134" s="36" t="s">
        <v>301</v>
      </c>
      <c r="D134" s="37">
        <v>1503723727</v>
      </c>
      <c r="E134" s="38"/>
      <c r="F134" s="38" t="s">
        <v>185</v>
      </c>
      <c r="G134" s="38" t="s">
        <v>302</v>
      </c>
      <c r="H134" s="35" t="s">
        <v>185</v>
      </c>
      <c r="I134" s="35" t="s">
        <v>302</v>
      </c>
      <c r="J134" s="214"/>
      <c r="K134" s="227"/>
      <c r="L134" s="230"/>
      <c r="M134" s="230"/>
      <c r="N134" s="230"/>
      <c r="O134" s="234"/>
      <c r="P134" s="224"/>
      <c r="Q134" s="224"/>
      <c r="R134" s="224"/>
    </row>
    <row r="135" spans="1:18" ht="15.75" customHeight="1">
      <c r="A135" s="272"/>
      <c r="B135" s="230"/>
      <c r="C135" s="36" t="s">
        <v>303</v>
      </c>
      <c r="D135" s="37">
        <v>1012379833</v>
      </c>
      <c r="E135" s="38"/>
      <c r="F135" s="38" t="s">
        <v>185</v>
      </c>
      <c r="G135" s="38" t="s">
        <v>185</v>
      </c>
      <c r="H135" s="35" t="s">
        <v>185</v>
      </c>
      <c r="I135" s="35" t="s">
        <v>185</v>
      </c>
      <c r="J135" s="214"/>
      <c r="K135" s="227"/>
      <c r="L135" s="230"/>
      <c r="M135" s="230"/>
      <c r="N135" s="230"/>
      <c r="O135" s="234"/>
      <c r="P135" s="224"/>
      <c r="Q135" s="224"/>
      <c r="R135" s="224"/>
    </row>
    <row r="136" spans="1:18" ht="15.75" customHeight="1">
      <c r="A136" s="272"/>
      <c r="B136" s="230"/>
      <c r="C136" s="36" t="s">
        <v>304</v>
      </c>
      <c r="D136" s="37">
        <v>1505583059</v>
      </c>
      <c r="E136" s="38" t="s">
        <v>185</v>
      </c>
      <c r="F136" s="38" t="s">
        <v>185</v>
      </c>
      <c r="G136" s="38" t="s">
        <v>185</v>
      </c>
      <c r="H136" s="35" t="s">
        <v>185</v>
      </c>
      <c r="I136" s="35" t="s">
        <v>185</v>
      </c>
      <c r="J136" s="214"/>
      <c r="K136" s="227"/>
      <c r="L136" s="230"/>
      <c r="M136" s="230"/>
      <c r="N136" s="230"/>
      <c r="O136" s="234"/>
      <c r="P136" s="224"/>
      <c r="Q136" s="224"/>
      <c r="R136" s="224"/>
    </row>
    <row r="137" spans="1:18" ht="15.75" customHeight="1">
      <c r="A137" s="272"/>
      <c r="B137" s="230"/>
      <c r="C137" s="36" t="s">
        <v>305</v>
      </c>
      <c r="D137" s="37">
        <v>1003927593</v>
      </c>
      <c r="E137" s="38" t="s">
        <v>185</v>
      </c>
      <c r="F137" s="38" t="s">
        <v>185</v>
      </c>
      <c r="G137" s="38" t="s">
        <v>185</v>
      </c>
      <c r="H137" s="35"/>
      <c r="I137" s="35"/>
      <c r="J137" s="214"/>
      <c r="K137" s="227"/>
      <c r="L137" s="230"/>
      <c r="M137" s="230"/>
      <c r="N137" s="230"/>
      <c r="O137" s="234"/>
      <c r="P137" s="224"/>
      <c r="Q137" s="224"/>
      <c r="R137" s="224"/>
    </row>
    <row r="138" spans="1:18" ht="15.75" customHeight="1">
      <c r="A138" s="272"/>
      <c r="B138" s="230"/>
      <c r="C138" s="36" t="s">
        <v>306</v>
      </c>
      <c r="D138" s="37">
        <v>1270263195</v>
      </c>
      <c r="E138" s="38" t="s">
        <v>188</v>
      </c>
      <c r="F138" s="38"/>
      <c r="G138" s="38" t="s">
        <v>185</v>
      </c>
      <c r="H138" s="35" t="s">
        <v>185</v>
      </c>
      <c r="I138" s="35" t="s">
        <v>185</v>
      </c>
      <c r="J138" s="214"/>
      <c r="K138" s="227"/>
      <c r="L138" s="230"/>
      <c r="M138" s="230"/>
      <c r="N138" s="230"/>
      <c r="O138" s="234"/>
      <c r="P138" s="224"/>
      <c r="Q138" s="224"/>
      <c r="R138" s="224"/>
    </row>
    <row r="139" spans="1:18" ht="15.75" customHeight="1">
      <c r="A139" s="272"/>
      <c r="B139" s="230"/>
      <c r="C139" s="36" t="s">
        <v>307</v>
      </c>
      <c r="D139" s="37">
        <v>1012666801</v>
      </c>
      <c r="E139" s="38" t="s">
        <v>188</v>
      </c>
      <c r="F139" s="38" t="s">
        <v>188</v>
      </c>
      <c r="G139" s="38" t="s">
        <v>188</v>
      </c>
      <c r="H139" s="35" t="s">
        <v>188</v>
      </c>
      <c r="I139" s="35"/>
      <c r="J139" s="214"/>
      <c r="K139" s="227"/>
      <c r="L139" s="230"/>
      <c r="M139" s="230"/>
      <c r="N139" s="230"/>
      <c r="O139" s="234"/>
      <c r="P139" s="224"/>
      <c r="Q139" s="224"/>
      <c r="R139" s="224"/>
    </row>
    <row r="140" spans="1:18" ht="15.75" customHeight="1">
      <c r="A140" s="272"/>
      <c r="B140" s="230"/>
      <c r="C140" s="69" t="s">
        <v>308</v>
      </c>
      <c r="D140" s="75">
        <v>1065673370</v>
      </c>
      <c r="E140" s="71"/>
      <c r="F140" s="71" t="s">
        <v>188</v>
      </c>
      <c r="G140" s="71" t="s">
        <v>188</v>
      </c>
      <c r="H140" s="72" t="s">
        <v>188</v>
      </c>
      <c r="I140" s="72" t="s">
        <v>188</v>
      </c>
      <c r="J140" s="214"/>
      <c r="K140" s="227"/>
      <c r="L140" s="230"/>
      <c r="M140" s="230"/>
      <c r="N140" s="230"/>
      <c r="O140" s="234"/>
      <c r="P140" s="224"/>
      <c r="Q140" s="224"/>
      <c r="R140" s="224"/>
    </row>
    <row r="141" spans="1:18" ht="15.75" customHeight="1" thickBot="1">
      <c r="A141" s="272"/>
      <c r="B141" s="237"/>
      <c r="C141" s="37" t="s">
        <v>309</v>
      </c>
      <c r="D141" s="37">
        <v>1017894918</v>
      </c>
      <c r="E141" s="37" t="s">
        <v>185</v>
      </c>
      <c r="F141" s="37" t="s">
        <v>188</v>
      </c>
      <c r="G141" s="37"/>
      <c r="H141" s="37"/>
      <c r="I141" s="37" t="s">
        <v>185</v>
      </c>
      <c r="J141" s="215"/>
      <c r="K141" s="228"/>
      <c r="L141" s="250"/>
      <c r="M141" s="250"/>
      <c r="N141" s="237"/>
      <c r="O141" s="235"/>
      <c r="P141" s="240"/>
      <c r="Q141" s="240"/>
      <c r="R141" s="240"/>
    </row>
    <row r="142" spans="1:18" ht="15.75" customHeight="1" thickTop="1">
      <c r="A142" s="272"/>
      <c r="B142" s="266" t="s">
        <v>310</v>
      </c>
      <c r="C142" s="72" t="s">
        <v>311</v>
      </c>
      <c r="D142" s="72">
        <v>201060274453</v>
      </c>
      <c r="E142" s="72" t="s">
        <v>188</v>
      </c>
      <c r="F142" s="72"/>
      <c r="G142" s="72"/>
      <c r="H142" s="72"/>
      <c r="I142" s="72"/>
      <c r="J142" s="229" t="s">
        <v>147</v>
      </c>
      <c r="K142" s="229" t="s">
        <v>148</v>
      </c>
      <c r="L142" s="229" t="s">
        <v>149</v>
      </c>
      <c r="M142" s="229" t="s">
        <v>147</v>
      </c>
      <c r="N142" s="229" t="s">
        <v>150</v>
      </c>
      <c r="O142" s="252" t="s">
        <v>312</v>
      </c>
      <c r="P142" s="254" t="s">
        <v>147</v>
      </c>
      <c r="Q142" s="138"/>
      <c r="R142" s="139"/>
    </row>
    <row r="143" spans="1:18" ht="15.75" customHeight="1">
      <c r="A143" s="272"/>
      <c r="B143" s="230"/>
      <c r="C143" s="72" t="s">
        <v>313</v>
      </c>
      <c r="D143" s="72">
        <v>1026120713</v>
      </c>
      <c r="E143" s="72" t="s">
        <v>185</v>
      </c>
      <c r="F143" s="72" t="s">
        <v>185</v>
      </c>
      <c r="G143" s="72" t="s">
        <v>185</v>
      </c>
      <c r="H143" s="72"/>
      <c r="I143" s="72"/>
      <c r="J143" s="230"/>
      <c r="K143" s="230"/>
      <c r="L143" s="230"/>
      <c r="M143" s="230"/>
      <c r="N143" s="230"/>
      <c r="O143" s="234"/>
      <c r="P143" s="255"/>
      <c r="Q143" s="138"/>
      <c r="R143" s="139"/>
    </row>
    <row r="144" spans="1:18" ht="15.75" customHeight="1">
      <c r="A144" s="272"/>
      <c r="B144" s="230"/>
      <c r="C144" s="72" t="s">
        <v>314</v>
      </c>
      <c r="D144" s="72">
        <v>201154466937</v>
      </c>
      <c r="E144" s="72"/>
      <c r="F144" s="72" t="s">
        <v>233</v>
      </c>
      <c r="G144" s="72" t="s">
        <v>188</v>
      </c>
      <c r="H144" s="72" t="s">
        <v>188</v>
      </c>
      <c r="I144" s="72" t="s">
        <v>188</v>
      </c>
      <c r="J144" s="230"/>
      <c r="K144" s="263" t="str">
        <f ca="1">IFERROR(__xludf.DUMMYFUNCTION("TEXTJOIN("" . "", TRUE, 
ARRAYFORMULA(
  {""A+"", ""A-"", ""B+"", ""B-"", ""O+"", ""O-"", ""AB+"", ""AB-""} &amp; 
  IMPORTRANGE(""https://docs.google.com/spreadsheets/d/1mpguJPr_mG_nGzxczFne84Im0A-cnZAsGvfJ90SyeLk/edit?gid=0#gid=0"", ""STOCK Mang!F20:M20"")
"&amp;"))        "),"#REF!")</f>
        <v>#REF!</v>
      </c>
      <c r="L144" s="230"/>
      <c r="M144" s="230"/>
      <c r="N144" s="230"/>
      <c r="O144" s="234"/>
      <c r="P144" s="255"/>
      <c r="Q144" s="138"/>
      <c r="R144" s="139"/>
    </row>
    <row r="145" spans="1:18" ht="15.75" customHeight="1">
      <c r="A145" s="272"/>
      <c r="B145" s="230"/>
      <c r="C145" s="72" t="s">
        <v>315</v>
      </c>
      <c r="D145" s="72">
        <v>1044324721</v>
      </c>
      <c r="E145" s="72"/>
      <c r="F145" s="72" t="s">
        <v>233</v>
      </c>
      <c r="G145" s="72" t="s">
        <v>185</v>
      </c>
      <c r="H145" s="72" t="s">
        <v>185</v>
      </c>
      <c r="I145" s="72" t="s">
        <v>185</v>
      </c>
      <c r="J145" s="230"/>
      <c r="K145" s="230"/>
      <c r="L145" s="230"/>
      <c r="M145" s="230"/>
      <c r="N145" s="230"/>
      <c r="O145" s="234"/>
      <c r="P145" s="255"/>
      <c r="Q145" s="138"/>
      <c r="R145" s="139"/>
    </row>
    <row r="146" spans="1:18" ht="15.75" customHeight="1">
      <c r="A146" s="272"/>
      <c r="B146" s="230"/>
      <c r="C146" s="72" t="s">
        <v>316</v>
      </c>
      <c r="D146" s="72" t="s">
        <v>317</v>
      </c>
      <c r="E146" s="72"/>
      <c r="F146" s="72"/>
      <c r="G146" s="72" t="s">
        <v>188</v>
      </c>
      <c r="H146" s="72"/>
      <c r="I146" s="72"/>
      <c r="J146" s="230"/>
      <c r="K146" s="230"/>
      <c r="L146" s="230"/>
      <c r="M146" s="230"/>
      <c r="N146" s="230"/>
      <c r="O146" s="234"/>
      <c r="P146" s="255"/>
      <c r="Q146" s="138"/>
      <c r="R146" s="139"/>
    </row>
    <row r="147" spans="1:18" ht="15.75" customHeight="1">
      <c r="A147" s="272"/>
      <c r="B147" s="230"/>
      <c r="C147" s="72"/>
      <c r="D147" s="72"/>
      <c r="E147" s="72"/>
      <c r="F147" s="72"/>
      <c r="G147" s="72"/>
      <c r="H147" s="72"/>
      <c r="I147" s="72"/>
      <c r="J147" s="230"/>
      <c r="K147" s="230"/>
      <c r="L147" s="230"/>
      <c r="M147" s="230"/>
      <c r="N147" s="230"/>
      <c r="O147" s="234"/>
      <c r="P147" s="255"/>
      <c r="Q147" s="138"/>
      <c r="R147" s="139"/>
    </row>
    <row r="148" spans="1:18" ht="15.75" customHeight="1" thickBot="1">
      <c r="A148" s="276"/>
      <c r="B148" s="230"/>
      <c r="C148" s="72"/>
      <c r="D148" s="72"/>
      <c r="E148" s="72"/>
      <c r="F148" s="72"/>
      <c r="G148" s="72"/>
      <c r="H148" s="72"/>
      <c r="I148" s="72"/>
      <c r="J148" s="237"/>
      <c r="K148" s="230"/>
      <c r="L148" s="237"/>
      <c r="M148" s="237"/>
      <c r="N148" s="237"/>
      <c r="O148" s="253"/>
      <c r="P148" s="140"/>
      <c r="Q148" s="141"/>
      <c r="R148" s="139"/>
    </row>
    <row r="149" spans="1:18" ht="25.5" customHeight="1">
      <c r="A149" s="350" t="s">
        <v>59</v>
      </c>
      <c r="B149" s="267" t="s">
        <v>64</v>
      </c>
      <c r="E149" s="142"/>
      <c r="F149" s="142"/>
      <c r="G149" s="142"/>
      <c r="H149" s="143"/>
      <c r="I149" s="143" t="s">
        <v>318</v>
      </c>
      <c r="J149" s="236" t="s">
        <v>147</v>
      </c>
      <c r="K149" s="236" t="s">
        <v>148</v>
      </c>
      <c r="L149" s="247" t="s">
        <v>149</v>
      </c>
      <c r="M149" s="247" t="s">
        <v>147</v>
      </c>
      <c r="N149" s="247" t="s">
        <v>150</v>
      </c>
      <c r="O149" s="144" t="s">
        <v>319</v>
      </c>
      <c r="P149" s="239" t="s">
        <v>147</v>
      </c>
      <c r="Q149" s="239"/>
      <c r="R149" s="258"/>
    </row>
    <row r="150" spans="1:18" ht="25.5" customHeight="1">
      <c r="A150" s="230"/>
      <c r="B150" s="230"/>
      <c r="C150" s="145" t="s">
        <v>320</v>
      </c>
      <c r="D150" s="146">
        <v>1118121502</v>
      </c>
      <c r="E150" s="107" t="s">
        <v>318</v>
      </c>
      <c r="F150" s="107"/>
      <c r="G150" s="107" t="s">
        <v>318</v>
      </c>
      <c r="H150" s="107"/>
      <c r="I150" s="107" t="s">
        <v>318</v>
      </c>
      <c r="J150" s="230"/>
      <c r="K150" s="230"/>
      <c r="L150" s="230"/>
      <c r="M150" s="230"/>
      <c r="N150" s="230"/>
      <c r="O150" s="147" t="s">
        <v>321</v>
      </c>
      <c r="P150" s="224"/>
      <c r="Q150" s="224"/>
      <c r="R150" s="224"/>
    </row>
    <row r="151" spans="1:18" ht="25.5" customHeight="1">
      <c r="A151" s="230"/>
      <c r="B151" s="230"/>
      <c r="C151" s="146" t="s">
        <v>322</v>
      </c>
      <c r="D151" s="146">
        <v>11116187912</v>
      </c>
      <c r="E151" s="148"/>
      <c r="F151" s="148"/>
      <c r="G151" s="143" t="s">
        <v>318</v>
      </c>
      <c r="H151" s="142" t="s">
        <v>318</v>
      </c>
      <c r="I151" s="143" t="s">
        <v>323</v>
      </c>
      <c r="J151" s="230"/>
      <c r="K151" s="236" t="str">
        <f ca="1">IFERROR(__xludf.DUMMYFUNCTION("TEXTJOIN("" . "", TRUE, 
ARRAYFORMULA(
  {""A+"", ""A-"", ""B+"", ""B-"", ""O+"", ""O-"", ""AB+"", ""AB-""} &amp; 
  IMPORTRANGE(""https://docs.google.com/spreadsheets/d/1mpguJPr_mG_nGzxczFne84Im0A-cnZAsGvfJ90SyeLk/edit?gid=0#gid=0"", ""STOCK Mang!F23:M23"")
"&amp;"))"),"#REF!")</f>
        <v>#REF!</v>
      </c>
      <c r="L151" s="230"/>
      <c r="M151" s="230"/>
      <c r="N151" s="230"/>
      <c r="O151" s="147"/>
      <c r="P151" s="224"/>
      <c r="Q151" s="224"/>
      <c r="R151" s="224"/>
    </row>
    <row r="152" spans="1:18" ht="25.5" customHeight="1">
      <c r="A152" s="230"/>
      <c r="B152" s="230"/>
      <c r="C152" s="149" t="s">
        <v>324</v>
      </c>
      <c r="D152" s="150">
        <v>1153082502</v>
      </c>
      <c r="E152" s="148"/>
      <c r="F152" s="148"/>
      <c r="G152" s="143" t="s">
        <v>323</v>
      </c>
      <c r="H152" s="143"/>
      <c r="I152" s="142"/>
      <c r="J152" s="230"/>
      <c r="K152" s="230"/>
      <c r="L152" s="230"/>
      <c r="M152" s="230"/>
      <c r="N152" s="230"/>
      <c r="O152" s="147"/>
      <c r="P152" s="224"/>
      <c r="Q152" s="224"/>
      <c r="R152" s="224"/>
    </row>
    <row r="153" spans="1:18" ht="15.75" customHeight="1">
      <c r="A153" s="230"/>
      <c r="B153" s="230"/>
      <c r="C153" s="149" t="s">
        <v>325</v>
      </c>
      <c r="D153" s="150">
        <v>1123833956</v>
      </c>
      <c r="E153" s="151" t="s">
        <v>323</v>
      </c>
      <c r="F153" s="151"/>
      <c r="G153" s="152" t="s">
        <v>323</v>
      </c>
      <c r="H153" s="143" t="s">
        <v>323</v>
      </c>
      <c r="I153" s="142"/>
      <c r="J153" s="230"/>
      <c r="K153" s="230"/>
      <c r="L153" s="230"/>
      <c r="M153" s="230"/>
      <c r="N153" s="230"/>
      <c r="O153" s="147"/>
      <c r="P153" s="224"/>
      <c r="Q153" s="224"/>
      <c r="R153" s="224"/>
    </row>
    <row r="154" spans="1:18" ht="15.75" customHeight="1">
      <c r="A154" s="230"/>
      <c r="B154" s="230"/>
      <c r="C154" s="153" t="s">
        <v>326</v>
      </c>
      <c r="D154" s="153">
        <v>1118183538</v>
      </c>
      <c r="E154" s="117"/>
      <c r="F154" s="117" t="s">
        <v>327</v>
      </c>
      <c r="G154" s="112"/>
      <c r="H154" s="142"/>
      <c r="I154" s="142" t="s">
        <v>327</v>
      </c>
      <c r="J154" s="230"/>
      <c r="K154" s="230"/>
      <c r="L154" s="230"/>
      <c r="M154" s="230"/>
      <c r="N154" s="230"/>
      <c r="O154" s="147"/>
      <c r="P154" s="224"/>
      <c r="Q154" s="224"/>
      <c r="R154" s="224"/>
    </row>
    <row r="155" spans="1:18" ht="15.75" customHeight="1">
      <c r="A155" s="230"/>
      <c r="B155" s="230"/>
      <c r="C155" s="150" t="s">
        <v>328</v>
      </c>
      <c r="D155" s="150">
        <v>1223996466</v>
      </c>
      <c r="E155" s="117"/>
      <c r="F155" s="117" t="s">
        <v>318</v>
      </c>
      <c r="G155" s="117"/>
      <c r="H155" s="107"/>
      <c r="I155" s="107"/>
      <c r="J155" s="230"/>
      <c r="K155" s="230"/>
      <c r="L155" s="230"/>
      <c r="M155" s="230"/>
      <c r="N155" s="230"/>
      <c r="O155" s="147"/>
      <c r="P155" s="224"/>
      <c r="Q155" s="224"/>
      <c r="R155" s="224"/>
    </row>
    <row r="156" spans="1:18" ht="15.75" customHeight="1">
      <c r="A156" s="230"/>
      <c r="B156" s="230"/>
      <c r="C156" s="149" t="s">
        <v>329</v>
      </c>
      <c r="D156" s="150">
        <v>1102030355</v>
      </c>
      <c r="E156" s="117"/>
      <c r="F156" s="117" t="s">
        <v>323</v>
      </c>
      <c r="G156" s="117"/>
      <c r="H156" s="107"/>
      <c r="I156" s="107"/>
      <c r="J156" s="230"/>
      <c r="K156" s="230"/>
      <c r="L156" s="230"/>
      <c r="M156" s="230"/>
      <c r="N156" s="230"/>
      <c r="O156" s="147"/>
      <c r="P156" s="224"/>
      <c r="Q156" s="224"/>
      <c r="R156" s="224"/>
    </row>
    <row r="157" spans="1:18" ht="15.75" customHeight="1">
      <c r="A157" s="230"/>
      <c r="B157" s="230"/>
      <c r="C157" s="149"/>
      <c r="D157" s="150"/>
      <c r="E157" s="117"/>
      <c r="F157" s="117"/>
      <c r="G157" s="117"/>
      <c r="H157" s="107"/>
      <c r="I157" s="107"/>
      <c r="J157" s="230"/>
      <c r="K157" s="230"/>
      <c r="L157" s="230"/>
      <c r="M157" s="230"/>
      <c r="N157" s="230"/>
      <c r="O157" s="147"/>
      <c r="P157" s="224"/>
      <c r="Q157" s="224"/>
      <c r="R157" s="224"/>
    </row>
    <row r="158" spans="1:18" ht="15.75" customHeight="1">
      <c r="A158" s="230"/>
      <c r="B158" s="230"/>
      <c r="C158" s="145"/>
      <c r="D158" s="146"/>
      <c r="E158" s="117"/>
      <c r="F158" s="117"/>
      <c r="G158" s="117"/>
      <c r="H158" s="107"/>
      <c r="I158" s="107"/>
      <c r="J158" s="230"/>
      <c r="K158" s="230"/>
      <c r="L158" s="230"/>
      <c r="M158" s="230"/>
      <c r="N158" s="230"/>
      <c r="O158" s="147"/>
      <c r="P158" s="224"/>
      <c r="Q158" s="224"/>
      <c r="R158" s="224"/>
    </row>
    <row r="159" spans="1:18" ht="15.75" customHeight="1">
      <c r="A159" s="230"/>
      <c r="B159" s="230"/>
      <c r="C159" s="145"/>
      <c r="D159" s="146"/>
      <c r="E159" s="117"/>
      <c r="F159" s="117"/>
      <c r="G159" s="117"/>
      <c r="H159" s="107"/>
      <c r="I159" s="107"/>
      <c r="J159" s="230"/>
      <c r="K159" s="230"/>
      <c r="L159" s="230"/>
      <c r="M159" s="230"/>
      <c r="N159" s="230"/>
      <c r="O159" s="147"/>
      <c r="P159" s="224"/>
      <c r="Q159" s="224"/>
      <c r="R159" s="224"/>
    </row>
    <row r="160" spans="1:18" ht="15.75" customHeight="1">
      <c r="A160" s="230"/>
      <c r="B160" s="230"/>
      <c r="C160" s="146"/>
      <c r="D160" s="146"/>
      <c r="E160" s="117"/>
      <c r="F160" s="117"/>
      <c r="G160" s="117"/>
      <c r="H160" s="107"/>
      <c r="I160" s="107"/>
      <c r="J160" s="230"/>
      <c r="K160" s="230"/>
      <c r="L160" s="230"/>
      <c r="M160" s="230"/>
      <c r="N160" s="230"/>
      <c r="O160" s="147"/>
      <c r="P160" s="224"/>
      <c r="Q160" s="224"/>
      <c r="R160" s="224"/>
    </row>
    <row r="161" spans="1:18" ht="15.75" customHeight="1" thickBot="1">
      <c r="A161" s="230"/>
      <c r="B161" s="246"/>
      <c r="C161" s="154"/>
      <c r="D161" s="155"/>
      <c r="E161" s="154"/>
      <c r="F161" s="154"/>
      <c r="G161" s="154"/>
      <c r="H161" s="107"/>
      <c r="I161" s="107"/>
      <c r="J161" s="230"/>
      <c r="K161" s="237"/>
      <c r="L161" s="237"/>
      <c r="M161" s="237"/>
      <c r="N161" s="237"/>
      <c r="O161" s="156"/>
      <c r="P161" s="240"/>
      <c r="Q161" s="240"/>
      <c r="R161" s="240"/>
    </row>
    <row r="162" spans="1:18" ht="15.75" customHeight="1">
      <c r="A162" s="230"/>
      <c r="B162" s="268" t="s">
        <v>330</v>
      </c>
      <c r="C162" s="157" t="s">
        <v>331</v>
      </c>
      <c r="D162" s="158">
        <v>1143824341</v>
      </c>
      <c r="E162" s="142" t="s">
        <v>146</v>
      </c>
      <c r="F162" s="142"/>
      <c r="G162" s="142"/>
      <c r="H162" s="142"/>
      <c r="I162" s="142"/>
      <c r="J162" s="236" t="s">
        <v>147</v>
      </c>
      <c r="K162" s="236" t="s">
        <v>148</v>
      </c>
      <c r="L162" s="236" t="s">
        <v>149</v>
      </c>
      <c r="M162" s="236" t="s">
        <v>147</v>
      </c>
      <c r="N162" s="236" t="s">
        <v>150</v>
      </c>
      <c r="O162" s="80"/>
      <c r="P162" s="239"/>
      <c r="Q162" s="120"/>
      <c r="R162" s="239"/>
    </row>
    <row r="163" spans="1:18" ht="15.75" customHeight="1">
      <c r="A163" s="230"/>
      <c r="B163" s="230"/>
      <c r="C163" s="159" t="s">
        <v>332</v>
      </c>
      <c r="D163" s="160">
        <v>1146823428</v>
      </c>
      <c r="E163" s="112" t="s">
        <v>160</v>
      </c>
      <c r="F163" s="112" t="s">
        <v>153</v>
      </c>
      <c r="G163" s="112" t="s">
        <v>153</v>
      </c>
      <c r="H163" s="142"/>
      <c r="I163" s="142" t="s">
        <v>153</v>
      </c>
      <c r="J163" s="230"/>
      <c r="K163" s="230"/>
      <c r="L163" s="230"/>
      <c r="M163" s="230"/>
      <c r="N163" s="230"/>
      <c r="O163" s="80"/>
      <c r="P163" s="224"/>
      <c r="Q163" s="81"/>
      <c r="R163" s="224"/>
    </row>
    <row r="164" spans="1:18" ht="15.75" customHeight="1">
      <c r="A164" s="230"/>
      <c r="B164" s="230"/>
      <c r="C164" s="159" t="s">
        <v>333</v>
      </c>
      <c r="D164" s="160">
        <v>1143591786</v>
      </c>
      <c r="E164" s="112"/>
      <c r="F164" s="112" t="s">
        <v>160</v>
      </c>
      <c r="G164" s="112"/>
      <c r="H164" s="142" t="s">
        <v>160</v>
      </c>
      <c r="I164" s="142"/>
      <c r="J164" s="230"/>
      <c r="K164" s="236" t="str">
        <f ca="1">IFERROR(__xludf.DUMMYFUNCTION("TEXTJOIN("" . "", TRUE, 
ARRAYFORMULA(
  {""A+"", ""A-"", ""B+"", ""B-"", ""O+"", ""O-"", ""AB+"", ""AB-""} &amp; 
  IMPORTRANGE(""https://docs.google.com/spreadsheets/d/1mpguJPr_mG_nGzxczFne84Im0A-cnZAsGvfJ90SyeLk/edit?gid=0#gid=0"", ""STOCK Mang!F22:M22"")
"&amp;"))"),"#REF!")</f>
        <v>#REF!</v>
      </c>
      <c r="L164" s="230"/>
      <c r="M164" s="230"/>
      <c r="N164" s="230"/>
      <c r="O164" s="80"/>
      <c r="P164" s="224"/>
      <c r="Q164" s="81"/>
      <c r="R164" s="224"/>
    </row>
    <row r="165" spans="1:18" ht="15.75" customHeight="1">
      <c r="A165" s="230"/>
      <c r="B165" s="230"/>
      <c r="C165" s="159" t="s">
        <v>334</v>
      </c>
      <c r="D165" s="160">
        <v>1120991096</v>
      </c>
      <c r="E165" s="112"/>
      <c r="F165" s="112" t="s">
        <v>146</v>
      </c>
      <c r="G165" s="112" t="s">
        <v>153</v>
      </c>
      <c r="H165" s="142"/>
      <c r="I165" s="142"/>
      <c r="J165" s="230"/>
      <c r="K165" s="230"/>
      <c r="L165" s="230"/>
      <c r="M165" s="230"/>
      <c r="N165" s="230"/>
      <c r="O165" s="80"/>
      <c r="P165" s="224"/>
      <c r="Q165" s="81"/>
      <c r="R165" s="224"/>
    </row>
    <row r="166" spans="1:18" ht="15.75" customHeight="1">
      <c r="A166" s="230"/>
      <c r="B166" s="230"/>
      <c r="C166" s="159" t="s">
        <v>335</v>
      </c>
      <c r="D166" s="160">
        <v>1153519923</v>
      </c>
      <c r="E166" s="112"/>
      <c r="F166" s="112" t="s">
        <v>146</v>
      </c>
      <c r="G166" s="112"/>
      <c r="H166" s="142" t="s">
        <v>146</v>
      </c>
      <c r="I166" s="142" t="s">
        <v>146</v>
      </c>
      <c r="J166" s="230"/>
      <c r="K166" s="230"/>
      <c r="L166" s="230"/>
      <c r="M166" s="230"/>
      <c r="N166" s="230"/>
      <c r="O166" s="80"/>
      <c r="P166" s="224"/>
      <c r="Q166" s="81"/>
      <c r="R166" s="224"/>
    </row>
    <row r="167" spans="1:18" ht="15.75" customHeight="1">
      <c r="A167" s="230"/>
      <c r="B167" s="230"/>
      <c r="C167" s="159" t="s">
        <v>336</v>
      </c>
      <c r="D167" s="160">
        <v>1155454222</v>
      </c>
      <c r="E167" s="112" t="s">
        <v>160</v>
      </c>
      <c r="F167" s="112"/>
      <c r="G167" s="112"/>
      <c r="H167" s="142"/>
      <c r="I167" s="142"/>
      <c r="J167" s="230"/>
      <c r="K167" s="230"/>
      <c r="L167" s="230"/>
      <c r="M167" s="230"/>
      <c r="N167" s="230"/>
      <c r="O167" s="80"/>
      <c r="P167" s="224"/>
      <c r="Q167" s="81"/>
      <c r="R167" s="224"/>
    </row>
    <row r="168" spans="1:18" ht="15.75" customHeight="1">
      <c r="A168" s="230"/>
      <c r="B168" s="230"/>
      <c r="C168" s="159" t="s">
        <v>337</v>
      </c>
      <c r="D168" s="160">
        <v>1124720601</v>
      </c>
      <c r="E168" s="112" t="s">
        <v>146</v>
      </c>
      <c r="F168" s="112" t="s">
        <v>146</v>
      </c>
      <c r="G168" s="112" t="s">
        <v>185</v>
      </c>
      <c r="H168" s="142"/>
      <c r="I168" s="142" t="s">
        <v>160</v>
      </c>
      <c r="J168" s="230"/>
      <c r="K168" s="230"/>
      <c r="L168" s="230"/>
      <c r="M168" s="230"/>
      <c r="N168" s="230"/>
      <c r="O168" s="80" t="s">
        <v>338</v>
      </c>
      <c r="P168" s="224"/>
      <c r="Q168" s="81"/>
      <c r="R168" s="224"/>
    </row>
    <row r="169" spans="1:18" ht="15.75" customHeight="1">
      <c r="A169" s="230"/>
      <c r="B169" s="230"/>
      <c r="C169" s="159" t="s">
        <v>339</v>
      </c>
      <c r="D169" s="160">
        <v>1122882994</v>
      </c>
      <c r="E169" s="112"/>
      <c r="F169" s="112" t="s">
        <v>160</v>
      </c>
      <c r="G169" s="112" t="s">
        <v>160</v>
      </c>
      <c r="H169" s="142" t="s">
        <v>160</v>
      </c>
      <c r="I169" s="142" t="s">
        <v>160</v>
      </c>
      <c r="J169" s="230"/>
      <c r="K169" s="230"/>
      <c r="L169" s="230"/>
      <c r="M169" s="230"/>
      <c r="N169" s="230"/>
      <c r="O169" s="80"/>
      <c r="P169" s="224"/>
      <c r="Q169" s="81"/>
      <c r="R169" s="224"/>
    </row>
    <row r="170" spans="1:18" ht="15.75" customHeight="1">
      <c r="A170" s="230"/>
      <c r="B170" s="230"/>
      <c r="C170" s="159" t="s">
        <v>340</v>
      </c>
      <c r="D170" s="160">
        <v>1553859581</v>
      </c>
      <c r="E170" s="112" t="s">
        <v>146</v>
      </c>
      <c r="F170" s="112"/>
      <c r="G170" s="112"/>
      <c r="H170" s="142" t="s">
        <v>146</v>
      </c>
      <c r="I170" s="142"/>
      <c r="J170" s="230"/>
      <c r="K170" s="230"/>
      <c r="L170" s="230"/>
      <c r="M170" s="230"/>
      <c r="N170" s="230"/>
      <c r="O170" s="80"/>
      <c r="P170" s="224"/>
      <c r="Q170" s="81"/>
      <c r="R170" s="224"/>
    </row>
    <row r="171" spans="1:18" ht="15.75" customHeight="1">
      <c r="A171" s="230"/>
      <c r="B171" s="230"/>
      <c r="C171" s="159" t="s">
        <v>341</v>
      </c>
      <c r="D171" s="160">
        <v>1150444690</v>
      </c>
      <c r="E171" s="112"/>
      <c r="F171" s="112"/>
      <c r="G171" s="112" t="s">
        <v>146</v>
      </c>
      <c r="H171" s="142" t="s">
        <v>146</v>
      </c>
      <c r="I171" s="142"/>
      <c r="J171" s="230"/>
      <c r="K171" s="230"/>
      <c r="L171" s="230"/>
      <c r="M171" s="230"/>
      <c r="N171" s="230"/>
      <c r="O171" s="80"/>
      <c r="P171" s="224"/>
      <c r="Q171" s="81"/>
      <c r="R171" s="224"/>
    </row>
    <row r="172" spans="1:18" ht="15.75" customHeight="1">
      <c r="A172" s="230"/>
      <c r="B172" s="230"/>
      <c r="C172" s="159" t="s">
        <v>342</v>
      </c>
      <c r="D172" s="160">
        <v>1100938292</v>
      </c>
      <c r="E172" s="112"/>
      <c r="F172" s="112"/>
      <c r="G172" s="112" t="s">
        <v>160</v>
      </c>
      <c r="H172" s="142"/>
      <c r="I172" s="142"/>
      <c r="J172" s="230"/>
      <c r="K172" s="230"/>
      <c r="L172" s="230"/>
      <c r="M172" s="230"/>
      <c r="N172" s="230"/>
      <c r="O172" s="80"/>
      <c r="P172" s="224"/>
      <c r="Q172" s="81"/>
      <c r="R172" s="224"/>
    </row>
    <row r="173" spans="1:18" ht="15.75" customHeight="1">
      <c r="A173" s="230"/>
      <c r="B173" s="230"/>
      <c r="C173" s="161" t="s">
        <v>343</v>
      </c>
      <c r="D173" s="162">
        <v>1157814463</v>
      </c>
      <c r="E173" s="117" t="s">
        <v>146</v>
      </c>
      <c r="F173" s="117"/>
      <c r="G173" s="117" t="s">
        <v>146</v>
      </c>
      <c r="H173" s="107"/>
      <c r="I173" s="107"/>
      <c r="J173" s="230"/>
      <c r="K173" s="230"/>
      <c r="L173" s="230"/>
      <c r="M173" s="230"/>
      <c r="N173" s="230"/>
      <c r="O173" s="80"/>
      <c r="P173" s="224"/>
      <c r="Q173" s="81"/>
      <c r="R173" s="224"/>
    </row>
    <row r="174" spans="1:18" ht="15.75" customHeight="1" thickBot="1">
      <c r="A174" s="230"/>
      <c r="B174" s="246"/>
      <c r="C174" s="163"/>
      <c r="D174" s="164"/>
      <c r="E174" s="155"/>
      <c r="F174" s="155"/>
      <c r="G174" s="155"/>
      <c r="H174" s="107"/>
      <c r="I174" s="107"/>
      <c r="J174" s="237"/>
      <c r="K174" s="237"/>
      <c r="L174" s="237"/>
      <c r="M174" s="237"/>
      <c r="N174" s="237"/>
      <c r="O174" s="86"/>
      <c r="P174" s="240"/>
      <c r="Q174" s="129"/>
      <c r="R174" s="240"/>
    </row>
    <row r="175" spans="1:18" ht="15.75" customHeight="1">
      <c r="A175" s="230"/>
      <c r="B175" s="283" t="s">
        <v>67</v>
      </c>
      <c r="C175" s="100" t="s">
        <v>344</v>
      </c>
      <c r="D175" s="101">
        <v>1060747836</v>
      </c>
      <c r="E175" s="102" t="s">
        <v>146</v>
      </c>
      <c r="F175" s="102"/>
      <c r="G175" s="102"/>
      <c r="H175" s="107"/>
      <c r="I175" s="107"/>
      <c r="J175" s="236"/>
      <c r="K175" s="236" t="s">
        <v>148</v>
      </c>
      <c r="L175" s="236" t="s">
        <v>149</v>
      </c>
      <c r="M175" s="236" t="s">
        <v>147</v>
      </c>
      <c r="N175" s="236" t="s">
        <v>345</v>
      </c>
      <c r="O175" s="80"/>
      <c r="P175" s="239"/>
      <c r="Q175" s="239"/>
      <c r="R175" s="239"/>
    </row>
    <row r="176" spans="1:18" ht="15.75" customHeight="1">
      <c r="A176" s="230"/>
      <c r="B176" s="234"/>
      <c r="C176" s="103" t="s">
        <v>69</v>
      </c>
      <c r="D176" s="83">
        <v>1067787157</v>
      </c>
      <c r="E176" s="104" t="s">
        <v>146</v>
      </c>
      <c r="F176" s="104"/>
      <c r="G176" s="104"/>
      <c r="H176" s="107" t="s">
        <v>146</v>
      </c>
      <c r="I176" s="107"/>
      <c r="J176" s="230"/>
      <c r="K176" s="230"/>
      <c r="L176" s="230"/>
      <c r="M176" s="230"/>
      <c r="N176" s="230"/>
      <c r="O176" s="80"/>
      <c r="P176" s="224"/>
      <c r="Q176" s="224"/>
      <c r="R176" s="224"/>
    </row>
    <row r="177" spans="1:18" ht="15.75" customHeight="1">
      <c r="A177" s="230"/>
      <c r="B177" s="234"/>
      <c r="C177" s="103" t="s">
        <v>346</v>
      </c>
      <c r="D177" s="83">
        <v>1012708886</v>
      </c>
      <c r="E177" s="104"/>
      <c r="F177" s="104"/>
      <c r="G177" s="104" t="s">
        <v>146</v>
      </c>
      <c r="H177" s="107"/>
      <c r="I177" s="107" t="s">
        <v>146</v>
      </c>
      <c r="J177" s="230"/>
      <c r="K177" s="236" t="str">
        <f ca="1">IFERROR(__xludf.DUMMYFUNCTION("TEXTJOIN("" . "", TRUE, 
ARRAYFORMULA(
  {""A+"", ""A-"", ""B+"", ""B-"", ""O+"", ""O-"", ""AB+"", ""AB-""} &amp; 
  IMPORTRANGE(""https://docs.google.com/spreadsheets/d/1mpguJPr_mG_nGzxczFne84Im0A-cnZAsGvfJ90SyeLk/edit?gid=0#gid=0"", ""STOCK Mang!F24:M24"")
"&amp;"))"),"#REF!")</f>
        <v>#REF!</v>
      </c>
      <c r="L177" s="230"/>
      <c r="M177" s="230"/>
      <c r="N177" s="230"/>
      <c r="O177" s="80"/>
      <c r="P177" s="224"/>
      <c r="Q177" s="224"/>
      <c r="R177" s="224"/>
    </row>
    <row r="178" spans="1:18" ht="15.75" customHeight="1">
      <c r="A178" s="230"/>
      <c r="B178" s="234"/>
      <c r="C178" s="103" t="s">
        <v>347</v>
      </c>
      <c r="D178" s="83">
        <v>1112165757</v>
      </c>
      <c r="E178" s="104"/>
      <c r="F178" s="104" t="s">
        <v>146</v>
      </c>
      <c r="G178" s="104"/>
      <c r="H178" s="107" t="s">
        <v>160</v>
      </c>
      <c r="I178" s="107"/>
      <c r="J178" s="230"/>
      <c r="K178" s="230"/>
      <c r="L178" s="230"/>
      <c r="M178" s="230"/>
      <c r="N178" s="230"/>
      <c r="O178" s="80" t="s">
        <v>348</v>
      </c>
      <c r="P178" s="224"/>
      <c r="Q178" s="224"/>
      <c r="R178" s="224"/>
    </row>
    <row r="179" spans="1:18" ht="15.75" customHeight="1">
      <c r="A179" s="230"/>
      <c r="B179" s="234"/>
      <c r="C179" s="103" t="s">
        <v>349</v>
      </c>
      <c r="D179" s="83">
        <v>1150283636</v>
      </c>
      <c r="E179" s="104"/>
      <c r="F179" s="104" t="s">
        <v>146</v>
      </c>
      <c r="G179" s="104"/>
      <c r="H179" s="107"/>
      <c r="I179" s="107"/>
      <c r="J179" s="230"/>
      <c r="K179" s="230"/>
      <c r="L179" s="230"/>
      <c r="M179" s="230"/>
      <c r="N179" s="230"/>
      <c r="O179" s="80" t="s">
        <v>350</v>
      </c>
      <c r="P179" s="224"/>
      <c r="Q179" s="224"/>
      <c r="R179" s="224"/>
    </row>
    <row r="180" spans="1:18" ht="15.75" customHeight="1">
      <c r="A180" s="230"/>
      <c r="B180" s="234"/>
      <c r="C180" s="103" t="s">
        <v>351</v>
      </c>
      <c r="D180" s="83">
        <v>1020263883</v>
      </c>
      <c r="E180" s="104" t="s">
        <v>160</v>
      </c>
      <c r="F180" s="104"/>
      <c r="G180" s="104" t="s">
        <v>160</v>
      </c>
      <c r="H180" s="107"/>
      <c r="I180" s="107" t="s">
        <v>160</v>
      </c>
      <c r="J180" s="230"/>
      <c r="K180" s="230"/>
      <c r="L180" s="230"/>
      <c r="M180" s="230"/>
      <c r="N180" s="230"/>
      <c r="O180" s="80"/>
      <c r="P180" s="224"/>
      <c r="Q180" s="224"/>
      <c r="R180" s="224"/>
    </row>
    <row r="181" spans="1:18" ht="15.75" customHeight="1">
      <c r="A181" s="230"/>
      <c r="B181" s="234"/>
      <c r="C181" s="103" t="s">
        <v>352</v>
      </c>
      <c r="D181" s="83">
        <v>1114651971</v>
      </c>
      <c r="E181" s="104" t="s">
        <v>146</v>
      </c>
      <c r="F181" s="104" t="s">
        <v>160</v>
      </c>
      <c r="G181" s="104"/>
      <c r="H181" s="107"/>
      <c r="I181" s="107"/>
      <c r="J181" s="230"/>
      <c r="K181" s="230"/>
      <c r="L181" s="230"/>
      <c r="M181" s="230"/>
      <c r="N181" s="230"/>
      <c r="O181" s="80"/>
      <c r="P181" s="224"/>
      <c r="Q181" s="224"/>
      <c r="R181" s="224"/>
    </row>
    <row r="182" spans="1:18" ht="15.75" customHeight="1" thickBot="1">
      <c r="A182" s="230"/>
      <c r="B182" s="243"/>
      <c r="C182" s="105" t="s">
        <v>353</v>
      </c>
      <c r="D182" s="85">
        <v>1148186502</v>
      </c>
      <c r="E182" s="106"/>
      <c r="F182" s="106" t="s">
        <v>146</v>
      </c>
      <c r="G182" s="106"/>
      <c r="H182" s="107"/>
      <c r="I182" s="107" t="s">
        <v>146</v>
      </c>
      <c r="J182" s="246"/>
      <c r="K182" s="246"/>
      <c r="L182" s="246"/>
      <c r="M182" s="246"/>
      <c r="N182" s="246"/>
      <c r="O182" s="165"/>
      <c r="P182" s="245"/>
      <c r="Q182" s="240"/>
      <c r="R182" s="245"/>
    </row>
    <row r="183" spans="1:18" ht="15.75" customHeight="1">
      <c r="A183" s="230"/>
      <c r="B183" s="269" t="s">
        <v>70</v>
      </c>
      <c r="C183" s="103" t="s">
        <v>354</v>
      </c>
      <c r="D183" s="83">
        <v>1119761300</v>
      </c>
      <c r="E183" s="104" t="s">
        <v>153</v>
      </c>
      <c r="F183" s="104"/>
      <c r="G183" s="104" t="s">
        <v>146</v>
      </c>
      <c r="H183" s="104" t="s">
        <v>146</v>
      </c>
      <c r="I183" s="104"/>
      <c r="J183" s="265" t="s">
        <v>147</v>
      </c>
      <c r="K183" s="236" t="s">
        <v>148</v>
      </c>
      <c r="L183" s="265" t="s">
        <v>149</v>
      </c>
      <c r="M183" s="265" t="s">
        <v>147</v>
      </c>
      <c r="N183" s="265" t="s">
        <v>150</v>
      </c>
      <c r="O183" s="80" t="s">
        <v>355</v>
      </c>
      <c r="P183" s="264" t="s">
        <v>356</v>
      </c>
      <c r="Q183" s="120"/>
      <c r="R183" s="264"/>
    </row>
    <row r="184" spans="1:18" ht="15.75" customHeight="1">
      <c r="A184" s="230"/>
      <c r="B184" s="234"/>
      <c r="C184" s="103" t="s">
        <v>357</v>
      </c>
      <c r="D184" s="83">
        <v>1145399946</v>
      </c>
      <c r="E184" s="104" t="s">
        <v>146</v>
      </c>
      <c r="F184" s="104" t="s">
        <v>146</v>
      </c>
      <c r="G184" s="104"/>
      <c r="H184" s="104"/>
      <c r="I184" s="104" t="s">
        <v>160</v>
      </c>
      <c r="J184" s="230"/>
      <c r="K184" s="230"/>
      <c r="L184" s="230"/>
      <c r="M184" s="230"/>
      <c r="N184" s="230"/>
      <c r="O184" s="80" t="s">
        <v>358</v>
      </c>
      <c r="P184" s="224"/>
      <c r="Q184" s="81"/>
      <c r="R184" s="224"/>
    </row>
    <row r="185" spans="1:18" ht="15.75" customHeight="1">
      <c r="A185" s="230"/>
      <c r="B185" s="234"/>
      <c r="C185" s="103" t="s">
        <v>359</v>
      </c>
      <c r="D185" s="83">
        <v>1143918797</v>
      </c>
      <c r="E185" s="104" t="s">
        <v>160</v>
      </c>
      <c r="F185" s="104" t="s">
        <v>160</v>
      </c>
      <c r="G185" s="104"/>
      <c r="H185" s="104"/>
      <c r="I185" s="104" t="s">
        <v>146</v>
      </c>
      <c r="J185" s="230"/>
      <c r="K185" s="230"/>
      <c r="L185" s="230"/>
      <c r="M185" s="230"/>
      <c r="N185" s="230"/>
      <c r="O185" s="80" t="s">
        <v>360</v>
      </c>
      <c r="P185" s="224"/>
      <c r="Q185" s="81"/>
      <c r="R185" s="224"/>
    </row>
    <row r="186" spans="1:18" ht="15.75" customHeight="1">
      <c r="A186" s="230"/>
      <c r="B186" s="234"/>
      <c r="C186" s="103" t="s">
        <v>361</v>
      </c>
      <c r="D186" s="83">
        <v>1111894095</v>
      </c>
      <c r="E186" s="104"/>
      <c r="F186" s="104"/>
      <c r="G186" s="104" t="s">
        <v>160</v>
      </c>
      <c r="H186" s="104" t="s">
        <v>160</v>
      </c>
      <c r="I186" s="104"/>
      <c r="J186" s="230"/>
      <c r="K186" s="236" t="str">
        <f ca="1">IFERROR(__xludf.DUMMYFUNCTION("TEXTJOIN("" . "", TRUE, 
ARRAYFORMULA(
  {""A+"", ""A-"", ""B+"", ""B-"", ""O+"", ""O-"", ""AB+"", ""AB-""} &amp; 
  IMPORTRANGE(""https://docs.google.com/spreadsheets/d/1mpguJPr_mG_nGzxczFne84Im0A-cnZAsGvfJ90SyeLk/edit?gid=0#gid=0"", ""STOCK Mang!F25:M25"")
"&amp;"))"),"#REF!")</f>
        <v>#REF!</v>
      </c>
      <c r="L186" s="230"/>
      <c r="M186" s="230"/>
      <c r="N186" s="230"/>
      <c r="O186" s="80"/>
      <c r="P186" s="224"/>
      <c r="Q186" s="81"/>
      <c r="R186" s="224"/>
    </row>
    <row r="187" spans="1:18" ht="15.75" customHeight="1">
      <c r="A187" s="230"/>
      <c r="B187" s="234"/>
      <c r="C187" s="103" t="s">
        <v>362</v>
      </c>
      <c r="D187" s="83">
        <v>1158135512</v>
      </c>
      <c r="E187" s="104"/>
      <c r="F187" s="104" t="s">
        <v>146</v>
      </c>
      <c r="G187" s="104"/>
      <c r="H187" s="104"/>
      <c r="I187" s="104"/>
      <c r="J187" s="230"/>
      <c r="K187" s="230"/>
      <c r="L187" s="230"/>
      <c r="M187" s="230"/>
      <c r="N187" s="230"/>
      <c r="O187" s="80"/>
      <c r="P187" s="224"/>
      <c r="Q187" s="81"/>
      <c r="R187" s="224"/>
    </row>
    <row r="188" spans="1:18" ht="17.25" customHeight="1" thickBot="1">
      <c r="A188" s="230"/>
      <c r="B188" s="243"/>
      <c r="C188" s="103" t="s">
        <v>363</v>
      </c>
      <c r="D188" s="83">
        <v>1204194302</v>
      </c>
      <c r="E188" s="104" t="s">
        <v>146</v>
      </c>
      <c r="F188" s="104"/>
      <c r="G188" s="104"/>
      <c r="H188" s="104"/>
      <c r="I188" s="104"/>
      <c r="J188" s="246"/>
      <c r="K188" s="246"/>
      <c r="L188" s="246"/>
      <c r="M188" s="246"/>
      <c r="N188" s="246"/>
      <c r="O188" s="165"/>
      <c r="P188" s="245"/>
      <c r="Q188" s="129"/>
      <c r="R188" s="245"/>
    </row>
    <row r="189" spans="1:18" ht="15.75" customHeight="1">
      <c r="A189" s="230"/>
      <c r="B189" s="348" t="s">
        <v>364</v>
      </c>
      <c r="C189" s="166" t="s">
        <v>365</v>
      </c>
      <c r="D189" s="167">
        <v>1027216067</v>
      </c>
      <c r="E189" s="168" t="s">
        <v>146</v>
      </c>
      <c r="F189" s="168" t="s">
        <v>146</v>
      </c>
      <c r="G189" s="168"/>
      <c r="H189" s="169"/>
      <c r="I189" s="169"/>
      <c r="J189" s="265"/>
      <c r="K189" s="236"/>
      <c r="L189" s="265" t="s">
        <v>149</v>
      </c>
      <c r="M189" s="265" t="s">
        <v>147</v>
      </c>
      <c r="N189" s="265" t="s">
        <v>150</v>
      </c>
      <c r="O189" s="242" t="s">
        <v>366</v>
      </c>
      <c r="P189" s="264"/>
      <c r="Q189" s="81"/>
      <c r="R189" s="264"/>
    </row>
    <row r="190" spans="1:18" ht="15.75" customHeight="1">
      <c r="A190" s="230"/>
      <c r="B190" s="230"/>
      <c r="C190" s="170" t="s">
        <v>367</v>
      </c>
      <c r="D190" s="171">
        <v>1142623695</v>
      </c>
      <c r="E190" s="172" t="s">
        <v>146</v>
      </c>
      <c r="F190" s="172" t="s">
        <v>146</v>
      </c>
      <c r="G190" s="172" t="s">
        <v>146</v>
      </c>
      <c r="H190" s="107"/>
      <c r="I190" s="107"/>
      <c r="J190" s="230"/>
      <c r="K190" s="230"/>
      <c r="L190" s="230"/>
      <c r="M190" s="230"/>
      <c r="N190" s="230"/>
      <c r="O190" s="234"/>
      <c r="P190" s="224"/>
      <c r="Q190" s="81"/>
      <c r="R190" s="224"/>
    </row>
    <row r="191" spans="1:18" ht="15.75" customHeight="1">
      <c r="A191" s="230"/>
      <c r="B191" s="230"/>
      <c r="C191" s="170" t="s">
        <v>368</v>
      </c>
      <c r="D191" s="171">
        <v>1124635953</v>
      </c>
      <c r="E191" s="172" t="s">
        <v>160</v>
      </c>
      <c r="F191" s="172"/>
      <c r="G191" s="172"/>
      <c r="H191" s="107"/>
      <c r="I191" s="107"/>
      <c r="J191" s="230"/>
      <c r="K191" s="236" t="str">
        <f ca="1">IFERROR(__xludf.DUMMYFUNCTION("TEXTJOIN("" . "", TRUE, 
ARRAYFORMULA(
  {""A+"", ""A-"", ""B+"", ""B-"", ""O+"", ""O-"", ""AB+"", ""AB-""} &amp; 
  IMPORTRANGE(""https://docs.google.com/spreadsheets/d/1mpguJPr_mG_nGzxczFne84Im0A-cnZAsGvfJ90SyeLk/edit?gid=0#gid=0"", ""STOCK Mang!F26:M26"")
"&amp;"))"),"#REF!")</f>
        <v>#REF!</v>
      </c>
      <c r="L191" s="230"/>
      <c r="M191" s="230"/>
      <c r="N191" s="230"/>
      <c r="O191" s="234"/>
      <c r="P191" s="224"/>
      <c r="Q191" s="81"/>
      <c r="R191" s="224"/>
    </row>
    <row r="192" spans="1:18" ht="15.75" customHeight="1">
      <c r="A192" s="230"/>
      <c r="B192" s="230"/>
      <c r="C192" s="170" t="s">
        <v>369</v>
      </c>
      <c r="D192" s="171">
        <v>1011314363</v>
      </c>
      <c r="E192" s="172" t="s">
        <v>160</v>
      </c>
      <c r="F192" s="172"/>
      <c r="G192" s="172"/>
      <c r="H192" s="107"/>
      <c r="I192" s="107"/>
      <c r="J192" s="230"/>
      <c r="K192" s="230"/>
      <c r="L192" s="230"/>
      <c r="M192" s="230"/>
      <c r="N192" s="230"/>
      <c r="O192" s="234"/>
      <c r="P192" s="224"/>
      <c r="Q192" s="81"/>
      <c r="R192" s="224"/>
    </row>
    <row r="193" spans="1:18" ht="15.75" customHeight="1">
      <c r="A193" s="230"/>
      <c r="B193" s="230"/>
      <c r="C193" s="170" t="s">
        <v>370</v>
      </c>
      <c r="D193" s="171">
        <v>1126466632</v>
      </c>
      <c r="E193" s="172"/>
      <c r="F193" s="172" t="s">
        <v>146</v>
      </c>
      <c r="G193" s="172" t="s">
        <v>146</v>
      </c>
      <c r="H193" s="107"/>
      <c r="I193" s="107" t="s">
        <v>160</v>
      </c>
      <c r="J193" s="230"/>
      <c r="K193" s="230"/>
      <c r="L193" s="230"/>
      <c r="M193" s="230"/>
      <c r="N193" s="230"/>
      <c r="O193" s="234"/>
      <c r="P193" s="224"/>
      <c r="Q193" s="81"/>
      <c r="R193" s="224"/>
    </row>
    <row r="194" spans="1:18" ht="15.75" customHeight="1">
      <c r="A194" s="230"/>
      <c r="B194" s="230"/>
      <c r="C194" s="170" t="s">
        <v>371</v>
      </c>
      <c r="D194" s="171">
        <v>1009605223</v>
      </c>
      <c r="E194" s="172"/>
      <c r="F194" s="172" t="s">
        <v>146</v>
      </c>
      <c r="G194" s="172" t="s">
        <v>146</v>
      </c>
      <c r="H194" s="107" t="s">
        <v>146</v>
      </c>
      <c r="I194" s="107"/>
      <c r="J194" s="230"/>
      <c r="K194" s="230"/>
      <c r="L194" s="230"/>
      <c r="M194" s="230"/>
      <c r="N194" s="230"/>
      <c r="O194" s="234"/>
      <c r="P194" s="224"/>
      <c r="Q194" s="81"/>
      <c r="R194" s="224"/>
    </row>
    <row r="195" spans="1:18" ht="15.75" customHeight="1">
      <c r="A195" s="230"/>
      <c r="B195" s="230"/>
      <c r="C195" s="170" t="s">
        <v>372</v>
      </c>
      <c r="D195" s="171">
        <v>1098911343</v>
      </c>
      <c r="E195" s="172"/>
      <c r="F195" s="172" t="s">
        <v>160</v>
      </c>
      <c r="G195" s="172" t="s">
        <v>160</v>
      </c>
      <c r="H195" s="107" t="s">
        <v>160</v>
      </c>
      <c r="I195" s="107"/>
      <c r="J195" s="230"/>
      <c r="K195" s="230"/>
      <c r="L195" s="230"/>
      <c r="M195" s="230"/>
      <c r="N195" s="230"/>
      <c r="O195" s="234"/>
      <c r="P195" s="224"/>
      <c r="Q195" s="81"/>
      <c r="R195" s="224"/>
    </row>
    <row r="196" spans="1:18" ht="15.75" customHeight="1">
      <c r="A196" s="230"/>
      <c r="B196" s="230"/>
      <c r="C196" s="170" t="s">
        <v>373</v>
      </c>
      <c r="D196" s="171">
        <v>1125885134</v>
      </c>
      <c r="E196" s="172"/>
      <c r="F196" s="172"/>
      <c r="G196" s="172"/>
      <c r="H196" s="107"/>
      <c r="I196" s="107" t="s">
        <v>146</v>
      </c>
      <c r="J196" s="230"/>
      <c r="K196" s="230"/>
      <c r="L196" s="230"/>
      <c r="M196" s="230"/>
      <c r="N196" s="230"/>
      <c r="O196" s="234"/>
      <c r="P196" s="224"/>
      <c r="Q196" s="81"/>
      <c r="R196" s="224"/>
    </row>
    <row r="197" spans="1:18" ht="15.75" customHeight="1">
      <c r="A197" s="230"/>
      <c r="B197" s="230"/>
      <c r="C197" s="170" t="s">
        <v>374</v>
      </c>
      <c r="D197" s="171">
        <v>1151648386</v>
      </c>
      <c r="E197" s="172"/>
      <c r="F197" s="172"/>
      <c r="G197" s="172"/>
      <c r="H197" s="107" t="s">
        <v>146</v>
      </c>
      <c r="I197" s="107" t="s">
        <v>146</v>
      </c>
      <c r="J197" s="230"/>
      <c r="K197" s="230"/>
      <c r="L197" s="230"/>
      <c r="M197" s="230"/>
      <c r="N197" s="230"/>
      <c r="O197" s="234"/>
      <c r="P197" s="224"/>
      <c r="Q197" s="81"/>
      <c r="R197" s="224"/>
    </row>
    <row r="198" spans="1:18" ht="15.75" customHeight="1" thickBot="1">
      <c r="A198" s="230"/>
      <c r="B198" s="246"/>
      <c r="C198" s="173"/>
      <c r="D198" s="174"/>
      <c r="E198" s="175"/>
      <c r="F198" s="175"/>
      <c r="G198" s="175"/>
      <c r="H198" s="107"/>
      <c r="I198" s="107"/>
      <c r="J198" s="246"/>
      <c r="K198" s="246"/>
      <c r="L198" s="246"/>
      <c r="M198" s="246"/>
      <c r="N198" s="246"/>
      <c r="O198" s="243"/>
      <c r="P198" s="245"/>
      <c r="Q198" s="176"/>
      <c r="R198" s="245"/>
    </row>
    <row r="199" spans="1:18" ht="15.75" customHeight="1">
      <c r="A199" s="230"/>
      <c r="B199" s="348" t="s">
        <v>76</v>
      </c>
      <c r="C199" s="166" t="s">
        <v>375</v>
      </c>
      <c r="D199" s="166">
        <v>1120060130</v>
      </c>
      <c r="E199" s="177" t="s">
        <v>146</v>
      </c>
      <c r="F199" s="177" t="s">
        <v>146</v>
      </c>
      <c r="G199" s="177"/>
      <c r="H199" s="178"/>
      <c r="I199" s="178"/>
      <c r="J199" s="265" t="s">
        <v>147</v>
      </c>
      <c r="K199" s="236" t="s">
        <v>148</v>
      </c>
      <c r="L199" s="265" t="s">
        <v>149</v>
      </c>
      <c r="M199" s="265" t="s">
        <v>147</v>
      </c>
      <c r="N199" s="265" t="s">
        <v>345</v>
      </c>
      <c r="O199" s="351" t="s">
        <v>376</v>
      </c>
      <c r="P199" s="264"/>
      <c r="Q199" s="81"/>
      <c r="R199" s="239"/>
    </row>
    <row r="200" spans="1:18" ht="15.75" customHeight="1">
      <c r="A200" s="230"/>
      <c r="B200" s="230"/>
      <c r="C200" s="170" t="s">
        <v>377</v>
      </c>
      <c r="D200" s="170">
        <v>1111009546</v>
      </c>
      <c r="E200" s="112" t="s">
        <v>146</v>
      </c>
      <c r="F200" s="112" t="s">
        <v>146</v>
      </c>
      <c r="G200" s="112"/>
      <c r="H200" s="107"/>
      <c r="I200" s="107"/>
      <c r="J200" s="230"/>
      <c r="K200" s="230"/>
      <c r="L200" s="230"/>
      <c r="M200" s="230"/>
      <c r="N200" s="230"/>
      <c r="O200" s="234"/>
      <c r="P200" s="224"/>
      <c r="Q200" s="81"/>
      <c r="R200" s="224"/>
    </row>
    <row r="201" spans="1:18" ht="15.75" customHeight="1">
      <c r="A201" s="230"/>
      <c r="B201" s="230"/>
      <c r="C201" s="170" t="s">
        <v>378</v>
      </c>
      <c r="D201" s="170">
        <v>1147783285</v>
      </c>
      <c r="E201" s="112" t="s">
        <v>160</v>
      </c>
      <c r="F201" s="112"/>
      <c r="G201" s="112" t="s">
        <v>146</v>
      </c>
      <c r="H201" s="107"/>
      <c r="I201" s="107" t="s">
        <v>160</v>
      </c>
      <c r="J201" s="230"/>
      <c r="K201" s="79"/>
      <c r="L201" s="230"/>
      <c r="M201" s="230"/>
      <c r="N201" s="230"/>
      <c r="O201" s="234"/>
      <c r="P201" s="224"/>
      <c r="Q201" s="81"/>
      <c r="R201" s="224"/>
    </row>
    <row r="202" spans="1:18" ht="15.75" customHeight="1">
      <c r="A202" s="230"/>
      <c r="B202" s="230"/>
      <c r="C202" s="170" t="s">
        <v>379</v>
      </c>
      <c r="D202" s="170">
        <v>1140314167</v>
      </c>
      <c r="E202" s="112" t="s">
        <v>160</v>
      </c>
      <c r="F202" s="112"/>
      <c r="G202" s="112"/>
      <c r="H202" s="107"/>
      <c r="I202" s="107" t="s">
        <v>146</v>
      </c>
      <c r="J202" s="230"/>
      <c r="K202" s="236" t="str">
        <f ca="1">IFERROR(__xludf.DUMMYFUNCTION("TEXTJOIN("" . "", TRUE, 
ARRAYFORMULA(
  {""A+"", ""A-"", ""B+"", ""B-"", ""O+"", ""O-"", ""AB+"", ""AB-""} &amp; 
  IMPORTRANGE(""https://docs.google.com/spreadsheets/d/1mpguJPr_mG_nGzxczFne84Im0A-cnZAsGvfJ90SyeLk/edit?gid=0#gid=0"", ""STOCK Mang!F27:M27"")
"&amp;"))"),"#REF!")</f>
        <v>#REF!</v>
      </c>
      <c r="L202" s="230"/>
      <c r="M202" s="230"/>
      <c r="N202" s="230"/>
      <c r="O202" s="234"/>
      <c r="P202" s="224"/>
      <c r="Q202" s="81"/>
      <c r="R202" s="224"/>
    </row>
    <row r="203" spans="1:18" ht="15.75" customHeight="1">
      <c r="A203" s="230"/>
      <c r="B203" s="230"/>
      <c r="C203" s="170" t="s">
        <v>380</v>
      </c>
      <c r="D203" s="170">
        <v>1027770814</v>
      </c>
      <c r="E203" s="112"/>
      <c r="F203" s="112" t="s">
        <v>160</v>
      </c>
      <c r="G203" s="112"/>
      <c r="H203" s="107" t="s">
        <v>160</v>
      </c>
      <c r="I203" s="107"/>
      <c r="J203" s="230"/>
      <c r="K203" s="230"/>
      <c r="L203" s="230"/>
      <c r="M203" s="230"/>
      <c r="N203" s="230"/>
      <c r="O203" s="234"/>
      <c r="P203" s="224"/>
      <c r="Q203" s="81"/>
      <c r="R203" s="224"/>
    </row>
    <row r="204" spans="1:18" ht="15.75" customHeight="1">
      <c r="A204" s="230"/>
      <c r="B204" s="230"/>
      <c r="C204" s="170" t="s">
        <v>381</v>
      </c>
      <c r="D204" s="170">
        <v>1114006930</v>
      </c>
      <c r="E204" s="112"/>
      <c r="F204" s="112" t="s">
        <v>160</v>
      </c>
      <c r="G204" s="112"/>
      <c r="H204" s="107"/>
      <c r="I204" s="107"/>
      <c r="J204" s="230"/>
      <c r="K204" s="230"/>
      <c r="L204" s="230"/>
      <c r="M204" s="230"/>
      <c r="N204" s="230"/>
      <c r="O204" s="234"/>
      <c r="P204" s="224"/>
      <c r="Q204" s="81"/>
      <c r="R204" s="224"/>
    </row>
    <row r="205" spans="1:18" ht="15.75" customHeight="1">
      <c r="A205" s="230"/>
      <c r="B205" s="230"/>
      <c r="C205" s="170" t="s">
        <v>382</v>
      </c>
      <c r="D205" s="170">
        <v>1111007397</v>
      </c>
      <c r="E205" s="112"/>
      <c r="F205" s="112"/>
      <c r="G205" s="112" t="s">
        <v>160</v>
      </c>
      <c r="H205" s="107"/>
      <c r="I205" s="107"/>
      <c r="J205" s="230"/>
      <c r="K205" s="230"/>
      <c r="L205" s="230"/>
      <c r="M205" s="230"/>
      <c r="N205" s="230"/>
      <c r="O205" s="234"/>
      <c r="P205" s="224"/>
      <c r="Q205" s="81"/>
      <c r="R205" s="224"/>
    </row>
    <row r="206" spans="1:18" ht="15.75" customHeight="1" thickBot="1">
      <c r="A206" s="237"/>
      <c r="B206" s="250"/>
      <c r="C206" s="179" t="s">
        <v>383</v>
      </c>
      <c r="D206" s="179">
        <v>1113319559</v>
      </c>
      <c r="E206" s="180"/>
      <c r="F206" s="180"/>
      <c r="G206" s="180"/>
      <c r="H206" s="132" t="s">
        <v>146</v>
      </c>
      <c r="I206" s="132" t="s">
        <v>146</v>
      </c>
      <c r="J206" s="250"/>
      <c r="K206" s="250"/>
      <c r="L206" s="250"/>
      <c r="M206" s="250"/>
      <c r="N206" s="250"/>
      <c r="O206" s="321"/>
      <c r="P206" s="259"/>
      <c r="Q206" s="181"/>
      <c r="R206" s="259"/>
    </row>
    <row r="207" spans="1:18" ht="15.75" customHeight="1" thickTop="1" thickBot="1">
      <c r="A207" s="182"/>
      <c r="B207" s="99"/>
      <c r="C207" s="107"/>
      <c r="D207" s="107"/>
      <c r="E207" s="107"/>
      <c r="F207" s="107"/>
      <c r="G207" s="117"/>
      <c r="H207" s="107"/>
      <c r="I207" s="107"/>
      <c r="J207" s="137"/>
      <c r="K207" s="79"/>
      <c r="L207" s="137"/>
      <c r="M207" s="79"/>
      <c r="N207" s="137"/>
      <c r="O207" s="183"/>
      <c r="P207" s="81"/>
      <c r="Q207" s="81"/>
      <c r="R207" s="81"/>
    </row>
    <row r="208" spans="1:18" ht="67.5" customHeight="1" thickTop="1">
      <c r="A208" s="275" t="s">
        <v>384</v>
      </c>
      <c r="B208" s="266" t="s">
        <v>385</v>
      </c>
      <c r="C208" s="35"/>
      <c r="D208" s="33"/>
      <c r="E208" s="34"/>
      <c r="F208" s="34"/>
      <c r="G208" s="41"/>
      <c r="H208" s="42"/>
      <c r="I208" s="42"/>
      <c r="J208" s="226" t="s">
        <v>147</v>
      </c>
      <c r="K208" s="229" t="s">
        <v>148</v>
      </c>
      <c r="L208" s="226" t="s">
        <v>149</v>
      </c>
      <c r="M208" s="229" t="s">
        <v>147</v>
      </c>
      <c r="N208" s="226" t="s">
        <v>150</v>
      </c>
      <c r="O208" s="184" t="s">
        <v>386</v>
      </c>
      <c r="P208" s="262"/>
      <c r="Q208" s="262"/>
      <c r="R208" s="262"/>
    </row>
    <row r="209" spans="1:18" ht="15.75" customHeight="1">
      <c r="A209" s="272"/>
      <c r="B209" s="230"/>
      <c r="C209" s="66" t="s">
        <v>387</v>
      </c>
      <c r="D209" s="37">
        <v>1002256222</v>
      </c>
      <c r="E209" s="38">
        <v>12</v>
      </c>
      <c r="F209" s="38">
        <v>12</v>
      </c>
      <c r="G209" s="37">
        <v>12</v>
      </c>
      <c r="H209" s="37">
        <v>12</v>
      </c>
      <c r="I209" s="37">
        <v>12</v>
      </c>
      <c r="J209" s="227"/>
      <c r="K209" s="230"/>
      <c r="L209" s="227"/>
      <c r="M209" s="230"/>
      <c r="N209" s="227"/>
      <c r="O209" s="184"/>
      <c r="P209" s="224"/>
      <c r="Q209" s="224"/>
      <c r="R209" s="224"/>
    </row>
    <row r="210" spans="1:18" ht="15.75" customHeight="1">
      <c r="A210" s="272"/>
      <c r="B210" s="230"/>
      <c r="C210" s="66" t="s">
        <v>388</v>
      </c>
      <c r="D210" s="37" t="s">
        <v>389</v>
      </c>
      <c r="E210" s="38" t="s">
        <v>390</v>
      </c>
      <c r="F210" s="38" t="s">
        <v>390</v>
      </c>
      <c r="G210" s="37" t="s">
        <v>390</v>
      </c>
      <c r="H210" s="37" t="s">
        <v>390</v>
      </c>
      <c r="I210" s="37" t="s">
        <v>390</v>
      </c>
      <c r="J210" s="227"/>
      <c r="K210" s="229" t="str">
        <f ca="1">IFERROR(__xludf.DUMMYFUNCTION("TEXTJOIN("" . "", TRUE, 
ARRAYFORMULA(
  {""A+"", ""A-"", ""B+"", ""B-"", ""O+"", ""O-"", ""AB+"", ""AB-""} &amp; 
  IMPORTRANGE(""https://docs.google.com/spreadsheets/d/1mpguJPr_mG_nGzxczFne84Im0A-cnZAsGvfJ90SyeLk/edit?gid=0#gid=0"", ""STOCK Mang!F28:M28"")
"&amp;"))"),"#REF!")</f>
        <v>#REF!</v>
      </c>
      <c r="L210" s="227"/>
      <c r="M210" s="230"/>
      <c r="N210" s="227"/>
      <c r="O210" s="184"/>
      <c r="P210" s="224"/>
      <c r="Q210" s="224"/>
      <c r="R210" s="224"/>
    </row>
    <row r="211" spans="1:18" ht="15.75" customHeight="1">
      <c r="A211" s="272"/>
      <c r="B211" s="230"/>
      <c r="C211" s="66" t="s">
        <v>391</v>
      </c>
      <c r="D211" s="37" t="s">
        <v>392</v>
      </c>
      <c r="E211" s="38" t="s">
        <v>390</v>
      </c>
      <c r="F211" s="38" t="s">
        <v>390</v>
      </c>
      <c r="G211" s="37" t="s">
        <v>390</v>
      </c>
      <c r="H211" s="37" t="s">
        <v>390</v>
      </c>
      <c r="I211" s="37" t="s">
        <v>390</v>
      </c>
      <c r="J211" s="227"/>
      <c r="K211" s="230"/>
      <c r="L211" s="227"/>
      <c r="M211" s="230"/>
      <c r="N211" s="227"/>
      <c r="O211" s="184"/>
      <c r="P211" s="224"/>
      <c r="Q211" s="224"/>
      <c r="R211" s="224"/>
    </row>
    <row r="212" spans="1:18" ht="15.75" customHeight="1" thickBot="1">
      <c r="A212" s="272"/>
      <c r="B212" s="274"/>
      <c r="C212" s="185" t="s">
        <v>393</v>
      </c>
      <c r="D212" s="186" t="s">
        <v>394</v>
      </c>
      <c r="E212" s="37" t="s">
        <v>395</v>
      </c>
      <c r="F212" s="37" t="s">
        <v>395</v>
      </c>
      <c r="G212" s="37" t="s">
        <v>395</v>
      </c>
      <c r="H212" s="37" t="s">
        <v>395</v>
      </c>
      <c r="I212" s="37" t="s">
        <v>395</v>
      </c>
      <c r="J212" s="294"/>
      <c r="K212" s="246"/>
      <c r="L212" s="295"/>
      <c r="M212" s="246"/>
      <c r="N212" s="295"/>
      <c r="O212" s="187"/>
      <c r="P212" s="245"/>
      <c r="Q212" s="245"/>
      <c r="R212" s="245"/>
    </row>
    <row r="213" spans="1:18" ht="15.75" customHeight="1" thickBot="1">
      <c r="A213" s="272"/>
      <c r="B213" s="266" t="s">
        <v>396</v>
      </c>
      <c r="C213" s="185" t="s">
        <v>397</v>
      </c>
      <c r="D213" s="37">
        <v>1065223495</v>
      </c>
      <c r="E213" s="38"/>
      <c r="F213" s="38" t="s">
        <v>398</v>
      </c>
      <c r="G213" s="38" t="s">
        <v>398</v>
      </c>
      <c r="H213" s="38" t="s">
        <v>398</v>
      </c>
      <c r="I213" s="38" t="s">
        <v>398</v>
      </c>
      <c r="J213" s="229" t="s">
        <v>147</v>
      </c>
      <c r="K213" s="229" t="s">
        <v>148</v>
      </c>
      <c r="L213" s="229" t="s">
        <v>149</v>
      </c>
      <c r="M213" s="229" t="s">
        <v>283</v>
      </c>
      <c r="N213" s="229" t="s">
        <v>150</v>
      </c>
      <c r="O213" s="352" t="s">
        <v>399</v>
      </c>
      <c r="P213" s="354"/>
      <c r="Q213" s="262"/>
      <c r="R213" s="262"/>
    </row>
    <row r="214" spans="1:18" ht="15.75" customHeight="1" thickBot="1">
      <c r="A214" s="272"/>
      <c r="B214" s="230"/>
      <c r="C214" s="185" t="s">
        <v>400</v>
      </c>
      <c r="D214" s="37">
        <v>1280813460</v>
      </c>
      <c r="E214" s="38" t="s">
        <v>395</v>
      </c>
      <c r="F214" s="38"/>
      <c r="G214" s="38"/>
      <c r="H214" s="38"/>
      <c r="I214" s="38"/>
      <c r="J214" s="230"/>
      <c r="K214" s="230"/>
      <c r="L214" s="230"/>
      <c r="M214" s="230"/>
      <c r="N214" s="230"/>
      <c r="O214" s="347"/>
      <c r="P214" s="224"/>
      <c r="Q214" s="224"/>
      <c r="R214" s="224"/>
    </row>
    <row r="215" spans="1:18" ht="15.75" customHeight="1" thickBot="1">
      <c r="A215" s="272"/>
      <c r="B215" s="230"/>
      <c r="C215" s="185" t="s">
        <v>401</v>
      </c>
      <c r="D215" s="37">
        <v>1225717887</v>
      </c>
      <c r="E215" s="38" t="s">
        <v>390</v>
      </c>
      <c r="F215" s="38"/>
      <c r="G215" s="38"/>
      <c r="H215" s="38"/>
      <c r="I215" s="38"/>
      <c r="J215" s="230"/>
      <c r="K215" s="229" t="str">
        <f ca="1">IFERROR(__xludf.DUMMYFUNCTION("TEXTJOIN("" . "", TRUE, 
ARRAYFORMULA(
  {""A+"", ""A-"", ""B+"", ""B-"", ""O+"", ""O-"", ""AB+"", ""AB-""} &amp; 
  IMPORTRANGE(""https://docs.google.com/spreadsheets/d/1mpguJPr_mG_nGzxczFne84Im0A-cnZAsGvfJ90SyeLk/edit?gid=0#gid=0"", ""STOCK Mang!F29:M29"")
"&amp;"))"),"#REF!")</f>
        <v>#REF!</v>
      </c>
      <c r="L215" s="230"/>
      <c r="M215" s="230"/>
      <c r="N215" s="230"/>
      <c r="O215" s="347"/>
      <c r="P215" s="224"/>
      <c r="Q215" s="224"/>
      <c r="R215" s="224"/>
    </row>
    <row r="216" spans="1:18" ht="15.75" customHeight="1" thickBot="1">
      <c r="A216" s="272"/>
      <c r="B216" s="230"/>
      <c r="C216" s="185" t="s">
        <v>402</v>
      </c>
      <c r="D216" s="37">
        <v>1279662042</v>
      </c>
      <c r="E216" s="38"/>
      <c r="F216" s="38" t="s">
        <v>390</v>
      </c>
      <c r="G216" s="38" t="s">
        <v>390</v>
      </c>
      <c r="H216" s="38" t="s">
        <v>390</v>
      </c>
      <c r="I216" s="38" t="s">
        <v>390</v>
      </c>
      <c r="J216" s="230"/>
      <c r="K216" s="230"/>
      <c r="L216" s="230"/>
      <c r="M216" s="230"/>
      <c r="N216" s="230"/>
      <c r="O216" s="347"/>
      <c r="P216" s="224"/>
      <c r="Q216" s="224"/>
      <c r="R216" s="224"/>
    </row>
    <row r="217" spans="1:18" ht="15.75" customHeight="1" thickBot="1">
      <c r="A217" s="272"/>
      <c r="B217" s="230"/>
      <c r="C217" s="185" t="s">
        <v>403</v>
      </c>
      <c r="D217" s="37">
        <v>1005515266</v>
      </c>
      <c r="E217" s="38"/>
      <c r="F217" s="38" t="s">
        <v>395</v>
      </c>
      <c r="G217" s="38" t="s">
        <v>395</v>
      </c>
      <c r="H217" s="38" t="s">
        <v>395</v>
      </c>
      <c r="I217" s="38" t="s">
        <v>395</v>
      </c>
      <c r="J217" s="230"/>
      <c r="K217" s="230"/>
      <c r="L217" s="230"/>
      <c r="M217" s="230"/>
      <c r="N217" s="230"/>
      <c r="O217" s="347"/>
      <c r="P217" s="224"/>
      <c r="Q217" s="224"/>
      <c r="R217" s="224"/>
    </row>
    <row r="218" spans="1:18" ht="15.75" customHeight="1" thickBot="1">
      <c r="A218" s="272"/>
      <c r="B218" s="246"/>
      <c r="C218" s="185" t="s">
        <v>404</v>
      </c>
      <c r="D218" s="37">
        <v>1201501210</v>
      </c>
      <c r="E218" s="38"/>
      <c r="F218" s="38" t="s">
        <v>390</v>
      </c>
      <c r="G218" s="38" t="s">
        <v>390</v>
      </c>
      <c r="H218" s="38" t="s">
        <v>390</v>
      </c>
      <c r="I218" s="38" t="s">
        <v>390</v>
      </c>
      <c r="J218" s="246"/>
      <c r="K218" s="246"/>
      <c r="L218" s="246"/>
      <c r="M218" s="246"/>
      <c r="N218" s="246"/>
      <c r="O218" s="353"/>
      <c r="P218" s="245"/>
      <c r="Q218" s="245"/>
      <c r="R218" s="245"/>
    </row>
    <row r="219" spans="1:18" ht="15.75" customHeight="1">
      <c r="A219" s="272"/>
      <c r="B219" s="266" t="s">
        <v>87</v>
      </c>
      <c r="C219" s="34"/>
      <c r="D219" s="33"/>
      <c r="E219" s="38"/>
      <c r="F219" s="38"/>
      <c r="G219" s="38"/>
      <c r="H219" s="38"/>
      <c r="I219" s="38"/>
      <c r="J219" s="226" t="s">
        <v>147</v>
      </c>
      <c r="K219" s="229" t="s">
        <v>148</v>
      </c>
      <c r="L219" s="229"/>
      <c r="M219" s="229"/>
      <c r="N219" s="229"/>
      <c r="O219" s="291"/>
      <c r="P219" s="262"/>
      <c r="Q219" s="262"/>
      <c r="R219" s="262"/>
    </row>
    <row r="220" spans="1:18" ht="15.75" customHeight="1">
      <c r="A220" s="272"/>
      <c r="B220" s="230"/>
      <c r="C220" s="38" t="s">
        <v>405</v>
      </c>
      <c r="D220" s="37"/>
      <c r="E220" s="38" t="s">
        <v>390</v>
      </c>
      <c r="F220" s="188" t="s">
        <v>390</v>
      </c>
      <c r="G220" s="188" t="s">
        <v>390</v>
      </c>
      <c r="H220" s="188" t="s">
        <v>390</v>
      </c>
      <c r="I220" s="188" t="s">
        <v>390</v>
      </c>
      <c r="J220" s="227"/>
      <c r="K220" s="230"/>
      <c r="L220" s="230"/>
      <c r="M220" s="230"/>
      <c r="N220" s="230"/>
      <c r="O220" s="292"/>
      <c r="P220" s="224"/>
      <c r="Q220" s="224"/>
      <c r="R220" s="224"/>
    </row>
    <row r="221" spans="1:18" ht="15.75" customHeight="1">
      <c r="A221" s="272"/>
      <c r="B221" s="230"/>
      <c r="C221" s="38" t="s">
        <v>89</v>
      </c>
      <c r="D221" s="37"/>
      <c r="E221" s="188" t="s">
        <v>406</v>
      </c>
      <c r="F221" s="188" t="s">
        <v>406</v>
      </c>
      <c r="G221" s="188" t="s">
        <v>406</v>
      </c>
      <c r="H221" s="188" t="s">
        <v>406</v>
      </c>
      <c r="I221" s="188" t="s">
        <v>406</v>
      </c>
      <c r="J221" s="227"/>
      <c r="K221" s="229" t="str">
        <f ca="1">IFERROR(__xludf.DUMMYFUNCTION("TEXTJOIN("" . "", TRUE, 
ARRAYFORMULA(
  {""A+"", ""A-"", ""B+"", ""B-"", ""O+"", ""O-"", ""AB+"", ""AB-""} &amp; 
  IMPORTRANGE(""https://docs.google.com/spreadsheets/d/1mpguJPr_mG_nGzxczFne84Im0A-cnZAsGvfJ90SyeLk/edit?gid=0#gid=0"", ""STOCK Mang!F30:M30"")
"&amp;"))"),"#REF!")</f>
        <v>#REF!</v>
      </c>
      <c r="L221" s="230"/>
      <c r="M221" s="230"/>
      <c r="N221" s="230"/>
      <c r="O221" s="292"/>
      <c r="P221" s="224"/>
      <c r="Q221" s="224"/>
      <c r="R221" s="224"/>
    </row>
    <row r="222" spans="1:18" ht="15.75" customHeight="1">
      <c r="A222" s="272"/>
      <c r="B222" s="230"/>
      <c r="C222" s="38"/>
      <c r="D222" s="37"/>
      <c r="E222" s="188"/>
      <c r="F222" s="188"/>
      <c r="G222" s="188"/>
      <c r="H222" s="189"/>
      <c r="I222" s="189"/>
      <c r="J222" s="227"/>
      <c r="K222" s="230"/>
      <c r="L222" s="230"/>
      <c r="M222" s="230"/>
      <c r="N222" s="230"/>
      <c r="O222" s="292"/>
      <c r="P222" s="224"/>
      <c r="Q222" s="224"/>
      <c r="R222" s="224"/>
    </row>
    <row r="223" spans="1:18" ht="15.75" customHeight="1" thickBot="1">
      <c r="A223" s="272"/>
      <c r="B223" s="290"/>
      <c r="C223" s="61"/>
      <c r="D223" s="60"/>
      <c r="E223" s="190"/>
      <c r="F223" s="190"/>
      <c r="G223" s="190"/>
      <c r="H223" s="191"/>
      <c r="I223" s="192"/>
      <c r="J223" s="294"/>
      <c r="K223" s="237"/>
      <c r="L223" s="274"/>
      <c r="M223" s="274"/>
      <c r="N223" s="274"/>
      <c r="O223" s="296"/>
      <c r="P223" s="240"/>
      <c r="Q223" s="240"/>
      <c r="R223" s="240"/>
    </row>
    <row r="224" spans="1:18" ht="15.75" customHeight="1" thickTop="1">
      <c r="A224" s="272"/>
      <c r="B224" s="266" t="s">
        <v>407</v>
      </c>
      <c r="C224" s="32" t="s">
        <v>408</v>
      </c>
      <c r="D224" s="33">
        <v>1022973793</v>
      </c>
      <c r="E224" s="192" t="s">
        <v>146</v>
      </c>
      <c r="F224" s="192"/>
      <c r="G224" s="192"/>
      <c r="H224" s="192"/>
      <c r="I224" s="192"/>
      <c r="J224" s="226" t="s">
        <v>147</v>
      </c>
      <c r="K224" s="229" t="s">
        <v>148</v>
      </c>
      <c r="L224" s="229" t="s">
        <v>149</v>
      </c>
      <c r="M224" s="229" t="s">
        <v>147</v>
      </c>
      <c r="N224" s="229" t="s">
        <v>150</v>
      </c>
      <c r="O224" s="291" t="s">
        <v>409</v>
      </c>
      <c r="P224" s="262"/>
      <c r="Q224" s="262"/>
      <c r="R224" s="262"/>
    </row>
    <row r="225" spans="1:18" ht="15.75" customHeight="1">
      <c r="A225" s="272"/>
      <c r="B225" s="230"/>
      <c r="C225" s="36" t="s">
        <v>410</v>
      </c>
      <c r="D225" s="37">
        <v>1010627297</v>
      </c>
      <c r="E225" s="37" t="s">
        <v>160</v>
      </c>
      <c r="F225" s="37"/>
      <c r="G225" s="37"/>
      <c r="H225" s="37"/>
      <c r="I225" s="37"/>
      <c r="J225" s="227"/>
      <c r="K225" s="230"/>
      <c r="L225" s="230"/>
      <c r="M225" s="230"/>
      <c r="N225" s="230"/>
      <c r="O225" s="292"/>
      <c r="P225" s="224"/>
      <c r="Q225" s="224"/>
      <c r="R225" s="224"/>
    </row>
    <row r="226" spans="1:18" ht="15.75" customHeight="1">
      <c r="A226" s="272"/>
      <c r="B226" s="230"/>
      <c r="C226" s="36" t="s">
        <v>411</v>
      </c>
      <c r="D226" s="37">
        <v>201066236623</v>
      </c>
      <c r="E226" s="37"/>
      <c r="F226" s="37" t="s">
        <v>146</v>
      </c>
      <c r="G226" s="37" t="s">
        <v>146</v>
      </c>
      <c r="H226" s="37" t="s">
        <v>146</v>
      </c>
      <c r="I226" s="37" t="s">
        <v>146</v>
      </c>
      <c r="J226" s="227"/>
      <c r="K226" s="229" t="str">
        <f ca="1">IFERROR(__xludf.DUMMYFUNCTION("TEXTJOIN("" . "", TRUE, 
ARRAYFORMULA(
  {""A+"", ""A-"", ""B+"", ""B-"", ""O+"", ""O-"", ""AB+"", ""AB-""} &amp; 
  IMPORTRANGE(""https://docs.google.com/spreadsheets/d/1mpguJPr_mG_nGzxczFne84Im0A-cnZAsGvfJ90SyeLk/edit?gid=0#gid=0"", ""STOCK Mang!F31:M31"")
"&amp;"))"),"#REF!")</f>
        <v>#REF!</v>
      </c>
      <c r="L226" s="230"/>
      <c r="M226" s="230"/>
      <c r="N226" s="230"/>
      <c r="O226" s="292"/>
      <c r="P226" s="224"/>
      <c r="Q226" s="224"/>
      <c r="R226" s="224"/>
    </row>
    <row r="227" spans="1:18" ht="15.75" customHeight="1">
      <c r="A227" s="272"/>
      <c r="B227" s="230"/>
      <c r="C227" s="36" t="s">
        <v>412</v>
      </c>
      <c r="D227" s="37">
        <v>201004271742</v>
      </c>
      <c r="E227" s="37"/>
      <c r="F227" s="37" t="s">
        <v>160</v>
      </c>
      <c r="G227" s="37" t="s">
        <v>160</v>
      </c>
      <c r="H227" s="37" t="s">
        <v>160</v>
      </c>
      <c r="I227" s="37" t="s">
        <v>160</v>
      </c>
      <c r="J227" s="227"/>
      <c r="K227" s="230"/>
      <c r="L227" s="230"/>
      <c r="M227" s="230"/>
      <c r="N227" s="230"/>
      <c r="O227" s="292"/>
      <c r="P227" s="224"/>
      <c r="Q227" s="224"/>
      <c r="R227" s="224"/>
    </row>
    <row r="228" spans="1:18" ht="15.75" customHeight="1" thickBot="1">
      <c r="A228" s="272"/>
      <c r="B228" s="274"/>
      <c r="C228" s="193" t="s">
        <v>413</v>
      </c>
      <c r="D228" s="186">
        <v>1066647467</v>
      </c>
      <c r="E228" s="70"/>
      <c r="F228" s="70" t="s">
        <v>146</v>
      </c>
      <c r="G228" s="70" t="s">
        <v>146</v>
      </c>
      <c r="H228" s="72" t="s">
        <v>146</v>
      </c>
      <c r="I228" s="37" t="s">
        <v>146</v>
      </c>
      <c r="J228" s="294"/>
      <c r="K228" s="274"/>
      <c r="L228" s="274"/>
      <c r="M228" s="274"/>
      <c r="N228" s="274"/>
      <c r="O228" s="296"/>
      <c r="P228" s="245"/>
      <c r="Q228" s="245"/>
      <c r="R228" s="245"/>
    </row>
    <row r="229" spans="1:18" ht="15.75" customHeight="1">
      <c r="A229" s="272"/>
      <c r="B229" s="266" t="s">
        <v>414</v>
      </c>
      <c r="C229" s="37" t="s">
        <v>415</v>
      </c>
      <c r="D229" s="37">
        <v>1015828481</v>
      </c>
      <c r="E229" s="38" t="s">
        <v>390</v>
      </c>
      <c r="F229" s="37"/>
      <c r="G229" s="37"/>
      <c r="H229" s="37"/>
      <c r="I229" s="37"/>
      <c r="J229" s="226" t="s">
        <v>147</v>
      </c>
      <c r="K229" s="229" t="s">
        <v>148</v>
      </c>
      <c r="L229" s="229" t="s">
        <v>149</v>
      </c>
      <c r="M229" s="229" t="s">
        <v>165</v>
      </c>
      <c r="N229" s="229" t="s">
        <v>150</v>
      </c>
      <c r="O229" s="291" t="s">
        <v>416</v>
      </c>
      <c r="P229" s="262"/>
      <c r="Q229" s="262"/>
      <c r="R229" s="262"/>
    </row>
    <row r="230" spans="1:18" ht="15.75" customHeight="1">
      <c r="A230" s="272"/>
      <c r="B230" s="230"/>
      <c r="C230" s="37" t="s">
        <v>417</v>
      </c>
      <c r="D230" s="37">
        <v>1020571763</v>
      </c>
      <c r="E230" s="38" t="s">
        <v>406</v>
      </c>
      <c r="F230" s="38"/>
      <c r="G230" s="37"/>
      <c r="H230" s="37"/>
      <c r="I230" s="37"/>
      <c r="J230" s="227"/>
      <c r="K230" s="230"/>
      <c r="L230" s="230"/>
      <c r="M230" s="230"/>
      <c r="N230" s="230"/>
      <c r="O230" s="292"/>
      <c r="P230" s="224"/>
      <c r="Q230" s="224"/>
      <c r="R230" s="224"/>
    </row>
    <row r="231" spans="1:18" ht="15.75" customHeight="1">
      <c r="A231" s="272"/>
      <c r="B231" s="230"/>
      <c r="C231" s="37" t="s">
        <v>418</v>
      </c>
      <c r="D231" s="37">
        <v>1144016623</v>
      </c>
      <c r="E231" s="38"/>
      <c r="F231" s="38" t="s">
        <v>419</v>
      </c>
      <c r="G231" s="38" t="s">
        <v>419</v>
      </c>
      <c r="H231" s="38" t="s">
        <v>419</v>
      </c>
      <c r="I231" s="38" t="s">
        <v>419</v>
      </c>
      <c r="J231" s="227"/>
      <c r="K231" s="229" t="str">
        <f ca="1">IFERROR(__xludf.DUMMYFUNCTION("TEXTJOIN("" . "", TRUE, 
ARRAYFORMULA(
  {""A+"", ""A-"", ""B+"", ""B-"", ""O+"", ""O-"", ""AB+"", ""AB-""} &amp; 
  IMPORTRANGE(""https://docs.google.com/spreadsheets/d/1mpguJPr_mG_nGzxczFne84Im0A-cnZAsGvfJ90SyeLk/edit?gid=0#gid=0"", ""STOCK Mang!F32:M32"")
"&amp;"))"),"#REF!")</f>
        <v>#REF!</v>
      </c>
      <c r="L231" s="230"/>
      <c r="M231" s="230"/>
      <c r="N231" s="230"/>
      <c r="O231" s="292"/>
      <c r="P231" s="224"/>
      <c r="Q231" s="224"/>
      <c r="R231" s="224"/>
    </row>
    <row r="232" spans="1:18" ht="15.75" customHeight="1">
      <c r="A232" s="272"/>
      <c r="B232" s="230"/>
      <c r="C232" s="194" t="s">
        <v>420</v>
      </c>
      <c r="D232" s="37">
        <v>1092526948</v>
      </c>
      <c r="E232" s="38"/>
      <c r="F232" s="38" t="s">
        <v>419</v>
      </c>
      <c r="G232" s="38" t="s">
        <v>419</v>
      </c>
      <c r="H232" s="38" t="s">
        <v>419</v>
      </c>
      <c r="I232" s="38" t="s">
        <v>419</v>
      </c>
      <c r="J232" s="227"/>
      <c r="K232" s="230"/>
      <c r="L232" s="230"/>
      <c r="M232" s="230"/>
      <c r="N232" s="230"/>
      <c r="O232" s="292"/>
      <c r="P232" s="224"/>
      <c r="Q232" s="224"/>
      <c r="R232" s="224"/>
    </row>
    <row r="233" spans="1:18" ht="15.75" customHeight="1">
      <c r="A233" s="272"/>
      <c r="B233" s="230"/>
      <c r="C233" s="194" t="s">
        <v>421</v>
      </c>
      <c r="D233" s="37">
        <v>1128093225</v>
      </c>
      <c r="E233" s="38"/>
      <c r="F233" s="38" t="s">
        <v>422</v>
      </c>
      <c r="G233" s="38" t="s">
        <v>422</v>
      </c>
      <c r="H233" s="38" t="s">
        <v>422</v>
      </c>
      <c r="I233" s="38" t="s">
        <v>422</v>
      </c>
      <c r="J233" s="227"/>
      <c r="K233" s="230"/>
      <c r="L233" s="230"/>
      <c r="M233" s="230"/>
      <c r="N233" s="230"/>
      <c r="O233" s="292"/>
      <c r="P233" s="224"/>
      <c r="Q233" s="224"/>
      <c r="R233" s="224"/>
    </row>
    <row r="234" spans="1:18" ht="15.75" customHeight="1" thickBot="1">
      <c r="A234" s="276"/>
      <c r="B234" s="246"/>
      <c r="C234" s="195" t="s">
        <v>423</v>
      </c>
      <c r="D234" s="37">
        <v>1092526948</v>
      </c>
      <c r="E234" s="38"/>
      <c r="F234" s="38" t="s">
        <v>422</v>
      </c>
      <c r="G234" s="38" t="s">
        <v>422</v>
      </c>
      <c r="H234" s="38" t="s">
        <v>422</v>
      </c>
      <c r="I234" s="38" t="s">
        <v>422</v>
      </c>
      <c r="J234" s="295"/>
      <c r="K234" s="246"/>
      <c r="L234" s="246"/>
      <c r="M234" s="246"/>
      <c r="N234" s="246"/>
      <c r="O234" s="293"/>
      <c r="P234" s="245"/>
      <c r="Q234" s="245"/>
      <c r="R234" s="245"/>
    </row>
    <row r="235" spans="1:18" ht="15.75" customHeight="1" thickTop="1" thickBot="1">
      <c r="A235" s="282" t="s">
        <v>424</v>
      </c>
      <c r="B235" s="283" t="s">
        <v>425</v>
      </c>
      <c r="C235" s="196" t="s">
        <v>426</v>
      </c>
      <c r="D235" s="196">
        <v>1117910128</v>
      </c>
      <c r="E235" s="181" t="s">
        <v>146</v>
      </c>
      <c r="F235" s="181"/>
      <c r="G235" s="181"/>
      <c r="H235" s="181"/>
      <c r="I235" s="181" t="s">
        <v>160</v>
      </c>
      <c r="J235" s="355" t="s">
        <v>147</v>
      </c>
      <c r="K235" s="236" t="s">
        <v>148</v>
      </c>
      <c r="L235" s="236" t="s">
        <v>149</v>
      </c>
      <c r="M235" s="236" t="s">
        <v>147</v>
      </c>
      <c r="N235" s="236" t="s">
        <v>150</v>
      </c>
      <c r="O235" s="242" t="s">
        <v>427</v>
      </c>
      <c r="P235" s="239"/>
      <c r="Q235" s="239"/>
      <c r="R235" s="239"/>
    </row>
    <row r="236" spans="1:18" ht="15.75" customHeight="1" thickTop="1" thickBot="1">
      <c r="A236" s="230"/>
      <c r="B236" s="234"/>
      <c r="C236" s="196" t="s">
        <v>428</v>
      </c>
      <c r="D236" s="196">
        <v>1119066727</v>
      </c>
      <c r="E236" s="196" t="s">
        <v>160</v>
      </c>
      <c r="F236" s="196" t="s">
        <v>146</v>
      </c>
      <c r="G236" s="196"/>
      <c r="H236" s="196" t="s">
        <v>146</v>
      </c>
      <c r="I236" s="196" t="s">
        <v>160</v>
      </c>
      <c r="J236" s="347"/>
      <c r="K236" s="230"/>
      <c r="L236" s="230"/>
      <c r="M236" s="230"/>
      <c r="N236" s="230"/>
      <c r="O236" s="234"/>
      <c r="P236" s="224"/>
      <c r="Q236" s="224"/>
      <c r="R236" s="224"/>
    </row>
    <row r="237" spans="1:18" ht="15.75" customHeight="1" thickTop="1" thickBot="1">
      <c r="A237" s="230"/>
      <c r="B237" s="234"/>
      <c r="C237" s="196" t="s">
        <v>429</v>
      </c>
      <c r="D237" s="196">
        <v>1159740228</v>
      </c>
      <c r="E237" s="196" t="s">
        <v>146</v>
      </c>
      <c r="F237" s="196"/>
      <c r="G237" s="196"/>
      <c r="H237" s="196"/>
      <c r="I237" s="196" t="s">
        <v>146</v>
      </c>
      <c r="J237" s="347"/>
      <c r="K237" s="236" t="str">
        <f ca="1">IFERROR(__xludf.DUMMYFUNCTION("TEXTJOIN("" . "", TRUE, 
ARRAYFORMULA(
  {""A+"", ""A-"", ""B+"", ""B-"", ""O+"", ""O-"", ""AB+"", ""AB-""} &amp; 
  IMPORTRANGE(""https://docs.google.com/spreadsheets/d/1mpguJPr_mG_nGzxczFne84Im0A-cnZAsGvfJ90SyeLk/edit?gid=0#gid=0"", ""STOCK Mang!F34:M34"")
"&amp;"))"),"#REF!")</f>
        <v>#REF!</v>
      </c>
      <c r="L237" s="230"/>
      <c r="M237" s="230"/>
      <c r="N237" s="230"/>
      <c r="O237" s="234"/>
      <c r="P237" s="224"/>
      <c r="Q237" s="224"/>
      <c r="R237" s="224"/>
    </row>
    <row r="238" spans="1:18" ht="15.75" customHeight="1" thickTop="1" thickBot="1">
      <c r="A238" s="230"/>
      <c r="B238" s="234"/>
      <c r="C238" s="196" t="s">
        <v>430</v>
      </c>
      <c r="D238" s="196">
        <v>1117741771</v>
      </c>
      <c r="E238" s="196" t="s">
        <v>146</v>
      </c>
      <c r="F238" s="196"/>
      <c r="G238" s="196"/>
      <c r="H238" s="196" t="s">
        <v>146</v>
      </c>
      <c r="I238" s="196" t="s">
        <v>146</v>
      </c>
      <c r="J238" s="347"/>
      <c r="K238" s="230"/>
      <c r="L238" s="230"/>
      <c r="M238" s="230"/>
      <c r="N238" s="230"/>
      <c r="O238" s="234"/>
      <c r="P238" s="224"/>
      <c r="Q238" s="224"/>
      <c r="R238" s="224"/>
    </row>
    <row r="239" spans="1:18" ht="15.75" customHeight="1" thickTop="1" thickBot="1">
      <c r="A239" s="230"/>
      <c r="B239" s="234"/>
      <c r="C239" s="196" t="s">
        <v>431</v>
      </c>
      <c r="D239" s="196">
        <v>1114072760</v>
      </c>
      <c r="E239" s="196" t="s">
        <v>160</v>
      </c>
      <c r="F239" s="196" t="s">
        <v>160</v>
      </c>
      <c r="G239" s="196"/>
      <c r="H239" s="196"/>
      <c r="I239" s="196"/>
      <c r="J239" s="347"/>
      <c r="K239" s="230"/>
      <c r="L239" s="230"/>
      <c r="M239" s="230"/>
      <c r="N239" s="230"/>
      <c r="O239" s="234"/>
      <c r="P239" s="224"/>
      <c r="Q239" s="224"/>
      <c r="R239" s="224"/>
    </row>
    <row r="240" spans="1:18" ht="15.75" customHeight="1" thickTop="1" thickBot="1">
      <c r="A240" s="230"/>
      <c r="B240" s="234"/>
      <c r="C240" s="196" t="s">
        <v>432</v>
      </c>
      <c r="D240" s="196">
        <v>1149612505</v>
      </c>
      <c r="E240" s="196"/>
      <c r="F240" s="196" t="s">
        <v>146</v>
      </c>
      <c r="G240" s="196" t="s">
        <v>160</v>
      </c>
      <c r="H240" s="196"/>
      <c r="I240" s="196" t="s">
        <v>146</v>
      </c>
      <c r="J240" s="347"/>
      <c r="K240" s="230"/>
      <c r="L240" s="230"/>
      <c r="M240" s="230"/>
      <c r="N240" s="230"/>
      <c r="O240" s="234"/>
      <c r="P240" s="224"/>
      <c r="Q240" s="224"/>
      <c r="R240" s="224"/>
    </row>
    <row r="241" spans="1:18" ht="15.75" customHeight="1" thickTop="1" thickBot="1">
      <c r="A241" s="230"/>
      <c r="B241" s="234"/>
      <c r="C241" s="196" t="s">
        <v>433</v>
      </c>
      <c r="D241" s="196">
        <v>1154473427</v>
      </c>
      <c r="E241" s="196"/>
      <c r="F241" s="196" t="s">
        <v>434</v>
      </c>
      <c r="G241" s="196"/>
      <c r="H241" s="196"/>
      <c r="I241" s="196"/>
      <c r="J241" s="347"/>
      <c r="K241" s="230"/>
      <c r="L241" s="230"/>
      <c r="M241" s="230"/>
      <c r="N241" s="230"/>
      <c r="O241" s="234"/>
      <c r="P241" s="224"/>
      <c r="Q241" s="224"/>
      <c r="R241" s="224"/>
    </row>
    <row r="242" spans="1:18" ht="15.75" customHeight="1" thickTop="1" thickBot="1">
      <c r="A242" s="230"/>
      <c r="B242" s="234"/>
      <c r="C242" s="196" t="s">
        <v>435</v>
      </c>
      <c r="D242" s="196">
        <v>1140454679</v>
      </c>
      <c r="E242" s="196"/>
      <c r="F242" s="196" t="s">
        <v>146</v>
      </c>
      <c r="G242" s="196" t="s">
        <v>146</v>
      </c>
      <c r="H242" s="196"/>
      <c r="I242" s="196"/>
      <c r="J242" s="347"/>
      <c r="K242" s="230"/>
      <c r="L242" s="230"/>
      <c r="M242" s="230"/>
      <c r="N242" s="230"/>
      <c r="O242" s="234"/>
      <c r="P242" s="224"/>
      <c r="Q242" s="224"/>
      <c r="R242" s="224"/>
    </row>
    <row r="243" spans="1:18" ht="15.75" customHeight="1" thickTop="1" thickBot="1">
      <c r="A243" s="230"/>
      <c r="B243" s="234"/>
      <c r="C243" s="196" t="s">
        <v>436</v>
      </c>
      <c r="D243" s="196">
        <v>1148083723</v>
      </c>
      <c r="E243" s="196"/>
      <c r="F243" s="196" t="s">
        <v>160</v>
      </c>
      <c r="G243" s="196"/>
      <c r="H243" s="196"/>
      <c r="I243" s="196"/>
      <c r="J243" s="347"/>
      <c r="K243" s="230"/>
      <c r="L243" s="230"/>
      <c r="M243" s="230"/>
      <c r="N243" s="230"/>
      <c r="O243" s="234"/>
      <c r="P243" s="224"/>
      <c r="Q243" s="224"/>
      <c r="R243" s="224"/>
    </row>
    <row r="244" spans="1:18" ht="15.75" customHeight="1" thickTop="1" thickBot="1">
      <c r="A244" s="230"/>
      <c r="B244" s="234"/>
      <c r="C244" s="196" t="s">
        <v>437</v>
      </c>
      <c r="D244" s="196">
        <v>1126551773</v>
      </c>
      <c r="E244" s="196"/>
      <c r="F244" s="196"/>
      <c r="G244" s="196" t="s">
        <v>146</v>
      </c>
      <c r="H244" s="196"/>
      <c r="I244" s="196" t="s">
        <v>146</v>
      </c>
      <c r="J244" s="347"/>
      <c r="K244" s="230"/>
      <c r="L244" s="230"/>
      <c r="M244" s="230"/>
      <c r="N244" s="230"/>
      <c r="O244" s="234"/>
      <c r="P244" s="224"/>
      <c r="Q244" s="224"/>
      <c r="R244" s="224"/>
    </row>
    <row r="245" spans="1:18" ht="15.75" customHeight="1" thickTop="1" thickBot="1">
      <c r="A245" s="230"/>
      <c r="B245" s="234"/>
      <c r="C245" s="196" t="s">
        <v>438</v>
      </c>
      <c r="D245" s="196">
        <v>1115542230</v>
      </c>
      <c r="E245" s="196"/>
      <c r="F245" s="196"/>
      <c r="G245" s="196" t="s">
        <v>146</v>
      </c>
      <c r="H245" s="196" t="s">
        <v>160</v>
      </c>
      <c r="I245" s="196"/>
      <c r="J245" s="347"/>
      <c r="K245" s="230"/>
      <c r="L245" s="230"/>
      <c r="M245" s="230"/>
      <c r="N245" s="230"/>
      <c r="O245" s="234"/>
      <c r="P245" s="224"/>
      <c r="Q245" s="224"/>
      <c r="R245" s="224"/>
    </row>
    <row r="246" spans="1:18" ht="15.75" customHeight="1" thickTop="1" thickBot="1">
      <c r="A246" s="230"/>
      <c r="B246" s="234"/>
      <c r="C246" s="196" t="s">
        <v>439</v>
      </c>
      <c r="D246" s="196">
        <v>1157001520</v>
      </c>
      <c r="E246" s="196"/>
      <c r="F246" s="196"/>
      <c r="G246" s="196" t="s">
        <v>160</v>
      </c>
      <c r="H246" s="196"/>
      <c r="I246" s="196"/>
      <c r="J246" s="347"/>
      <c r="K246" s="230"/>
      <c r="L246" s="230"/>
      <c r="M246" s="230"/>
      <c r="N246" s="230"/>
      <c r="O246" s="234"/>
      <c r="P246" s="224"/>
      <c r="Q246" s="224"/>
      <c r="R246" s="224"/>
    </row>
    <row r="247" spans="1:18" ht="15.75" customHeight="1" thickTop="1" thickBot="1">
      <c r="A247" s="230"/>
      <c r="B247" s="253"/>
      <c r="C247" s="196" t="s">
        <v>440</v>
      </c>
      <c r="D247" s="196">
        <v>1119337751</v>
      </c>
      <c r="E247" s="196"/>
      <c r="F247" s="196"/>
      <c r="G247" s="196"/>
      <c r="H247" s="196" t="s">
        <v>160</v>
      </c>
      <c r="I247" s="196"/>
      <c r="J247" s="356"/>
      <c r="K247" s="237"/>
      <c r="L247" s="237"/>
      <c r="M247" s="237"/>
      <c r="N247" s="237"/>
      <c r="O247" s="253"/>
      <c r="P247" s="240"/>
      <c r="Q247" s="240"/>
      <c r="R247" s="240"/>
    </row>
    <row r="248" spans="1:18" ht="15.75" customHeight="1" thickTop="1" thickBot="1">
      <c r="A248" s="230"/>
      <c r="B248" s="283" t="s">
        <v>441</v>
      </c>
      <c r="C248" s="196" t="s">
        <v>442</v>
      </c>
      <c r="D248" s="196">
        <v>1111418567</v>
      </c>
      <c r="E248" s="196" t="s">
        <v>146</v>
      </c>
      <c r="F248" s="196" t="s">
        <v>153</v>
      </c>
      <c r="G248" s="196"/>
      <c r="H248" s="196"/>
      <c r="I248" s="196" t="s">
        <v>153</v>
      </c>
      <c r="J248" s="355" t="s">
        <v>147</v>
      </c>
      <c r="K248" s="236" t="s">
        <v>148</v>
      </c>
      <c r="L248" s="236" t="s">
        <v>149</v>
      </c>
      <c r="M248" s="236" t="s">
        <v>147</v>
      </c>
      <c r="N248" s="236" t="s">
        <v>150</v>
      </c>
      <c r="O248" s="297" t="s">
        <v>443</v>
      </c>
      <c r="P248" s="239" t="s">
        <v>147</v>
      </c>
      <c r="Q248" s="239"/>
      <c r="R248" s="239"/>
    </row>
    <row r="249" spans="1:18" ht="15.75" customHeight="1" thickTop="1" thickBot="1">
      <c r="A249" s="230"/>
      <c r="B249" s="234"/>
      <c r="C249" s="196" t="s">
        <v>444</v>
      </c>
      <c r="D249" s="196">
        <v>1121183536</v>
      </c>
      <c r="E249" s="196" t="s">
        <v>160</v>
      </c>
      <c r="F249" s="196"/>
      <c r="G249" s="196" t="s">
        <v>146</v>
      </c>
      <c r="H249" s="196" t="s">
        <v>146</v>
      </c>
      <c r="I249" s="196" t="s">
        <v>146</v>
      </c>
      <c r="J249" s="347"/>
      <c r="K249" s="230"/>
      <c r="L249" s="230"/>
      <c r="M249" s="230"/>
      <c r="N249" s="230"/>
      <c r="O249" s="234"/>
      <c r="P249" s="224"/>
      <c r="Q249" s="224"/>
      <c r="R249" s="224"/>
    </row>
    <row r="250" spans="1:18" ht="15.75" customHeight="1" thickTop="1" thickBot="1">
      <c r="A250" s="230"/>
      <c r="B250" s="234"/>
      <c r="C250" s="196" t="s">
        <v>445</v>
      </c>
      <c r="D250" s="196">
        <v>1152759528</v>
      </c>
      <c r="E250" s="196"/>
      <c r="F250" s="196" t="s">
        <v>160</v>
      </c>
      <c r="G250" s="196" t="s">
        <v>160</v>
      </c>
      <c r="H250" s="196" t="s">
        <v>160</v>
      </c>
      <c r="I250" s="196" t="s">
        <v>160</v>
      </c>
      <c r="J250" s="347"/>
      <c r="K250" s="236" t="str">
        <f ca="1">IFERROR(__xludf.DUMMYFUNCTION("TEXTJOIN("" . "", TRUE, 
ARRAYFORMULA(
  {""A+"", ""A-"", ""B+"", ""B-"", ""O+"", ""O-"", ""AB+"", ""AB-""} &amp; 
  IMPORTRANGE(""https://docs.google.com/spreadsheets/d/1mpguJPr_mG_nGzxczFne84Im0A-cnZAsGvfJ90SyeLk/edit?gid=0#gid=0"", ""STOCK Mang!F35:M35"")
"&amp;"))"),"#REF!")</f>
        <v>#REF!</v>
      </c>
      <c r="L250" s="230"/>
      <c r="M250" s="230"/>
      <c r="N250" s="230"/>
      <c r="O250" s="234"/>
      <c r="P250" s="224"/>
      <c r="Q250" s="224"/>
      <c r="R250" s="224"/>
    </row>
    <row r="251" spans="1:18" ht="15.75" customHeight="1" thickTop="1" thickBot="1">
      <c r="A251" s="230"/>
      <c r="B251" s="234"/>
      <c r="C251" s="196" t="s">
        <v>446</v>
      </c>
      <c r="D251" s="196">
        <v>1129938946</v>
      </c>
      <c r="E251" s="196"/>
      <c r="F251" s="196" t="s">
        <v>146</v>
      </c>
      <c r="G251" s="196" t="s">
        <v>146</v>
      </c>
      <c r="H251" s="196"/>
      <c r="I251" s="196"/>
      <c r="J251" s="347"/>
      <c r="K251" s="230"/>
      <c r="L251" s="230"/>
      <c r="M251" s="230"/>
      <c r="N251" s="230"/>
      <c r="O251" s="234"/>
      <c r="P251" s="224"/>
      <c r="Q251" s="224"/>
      <c r="R251" s="224"/>
    </row>
    <row r="252" spans="1:18" ht="15.75" customHeight="1" thickTop="1" thickBot="1">
      <c r="A252" s="230"/>
      <c r="B252" s="234"/>
      <c r="C252" s="196" t="s">
        <v>447</v>
      </c>
      <c r="D252" s="196">
        <v>1100343566</v>
      </c>
      <c r="E252" s="196"/>
      <c r="F252" s="196"/>
      <c r="G252" s="196"/>
      <c r="H252" s="196"/>
      <c r="I252" s="196" t="s">
        <v>146</v>
      </c>
      <c r="J252" s="347"/>
      <c r="K252" s="230"/>
      <c r="L252" s="230"/>
      <c r="M252" s="230"/>
      <c r="N252" s="230"/>
      <c r="O252" s="234"/>
      <c r="P252" s="224"/>
      <c r="Q252" s="224"/>
      <c r="R252" s="224"/>
    </row>
    <row r="253" spans="1:18" ht="15.75" customHeight="1" thickTop="1" thickBot="1">
      <c r="A253" s="230"/>
      <c r="B253" s="243"/>
      <c r="C253" s="196" t="s">
        <v>448</v>
      </c>
      <c r="D253" s="196">
        <v>1155331894</v>
      </c>
      <c r="E253" s="196"/>
      <c r="F253" s="196"/>
      <c r="G253" s="196"/>
      <c r="H253" s="196"/>
      <c r="I253" s="196" t="s">
        <v>160</v>
      </c>
      <c r="J253" s="353"/>
      <c r="K253" s="246"/>
      <c r="L253" s="246"/>
      <c r="M253" s="246"/>
      <c r="N253" s="246"/>
      <c r="O253" s="243"/>
      <c r="P253" s="245"/>
      <c r="Q253" s="298"/>
      <c r="R253" s="245"/>
    </row>
    <row r="254" spans="1:18" ht="15.75" customHeight="1" thickTop="1" thickBot="1">
      <c r="A254" s="230"/>
      <c r="B254" s="283" t="s">
        <v>449</v>
      </c>
      <c r="C254" s="196" t="s">
        <v>450</v>
      </c>
      <c r="D254" s="196">
        <v>1155479801</v>
      </c>
      <c r="E254" s="196" t="s">
        <v>146</v>
      </c>
      <c r="F254" s="196"/>
      <c r="G254" s="196" t="s">
        <v>146</v>
      </c>
      <c r="H254" s="196"/>
      <c r="I254" s="196" t="s">
        <v>146</v>
      </c>
      <c r="J254" s="355" t="s">
        <v>147</v>
      </c>
      <c r="K254" s="236" t="s">
        <v>148</v>
      </c>
      <c r="L254" s="236" t="s">
        <v>149</v>
      </c>
      <c r="M254" s="236" t="s">
        <v>147</v>
      </c>
      <c r="N254" s="236" t="s">
        <v>150</v>
      </c>
      <c r="O254" s="297" t="s">
        <v>451</v>
      </c>
      <c r="P254" s="239" t="s">
        <v>147</v>
      </c>
      <c r="Q254" s="239"/>
      <c r="R254" s="239"/>
    </row>
    <row r="255" spans="1:18" ht="15.75" customHeight="1" thickTop="1" thickBot="1">
      <c r="A255" s="230"/>
      <c r="B255" s="234"/>
      <c r="C255" s="196" t="s">
        <v>452</v>
      </c>
      <c r="D255" s="196">
        <v>1123237093</v>
      </c>
      <c r="E255" s="196" t="s">
        <v>146</v>
      </c>
      <c r="F255" s="196" t="s">
        <v>146</v>
      </c>
      <c r="G255" s="196"/>
      <c r="H255" s="196" t="s">
        <v>160</v>
      </c>
      <c r="I255" s="196"/>
      <c r="J255" s="347"/>
      <c r="K255" s="230"/>
      <c r="L255" s="230"/>
      <c r="M255" s="230"/>
      <c r="N255" s="230"/>
      <c r="O255" s="234"/>
      <c r="P255" s="224"/>
      <c r="Q255" s="224"/>
      <c r="R255" s="224"/>
    </row>
    <row r="256" spans="1:18" ht="15.75" customHeight="1" thickTop="1" thickBot="1">
      <c r="A256" s="230"/>
      <c r="B256" s="234"/>
      <c r="C256" s="196" t="s">
        <v>453</v>
      </c>
      <c r="D256" s="196">
        <v>1147227264</v>
      </c>
      <c r="E256" s="196" t="s">
        <v>160</v>
      </c>
      <c r="F256" s="196" t="s">
        <v>160</v>
      </c>
      <c r="G256" s="196" t="s">
        <v>160</v>
      </c>
      <c r="H256" s="196"/>
      <c r="I256" s="196"/>
      <c r="J256" s="347"/>
      <c r="K256" s="236" t="str">
        <f ca="1">IFERROR(__xludf.DUMMYFUNCTION("TEXTJOIN("" . "", TRUE, 
ARRAYFORMULA(
  {""A+"", ""A-"", ""B+"", ""B-"", ""O+"", ""O-"", ""AB+"", ""AB-""} &amp; 
  IMPORTRANGE(""https://docs.google.com/spreadsheets/d/1mpguJPr_mG_nGzxczFne84Im0A-cnZAsGvfJ90SyeLk/edit?gid=0#gid=0"", ""STOCK Mang!F36:M36"")
"&amp;"))"),"#REF!")</f>
        <v>#REF!</v>
      </c>
      <c r="L256" s="230"/>
      <c r="M256" s="230"/>
      <c r="N256" s="230"/>
      <c r="O256" s="234"/>
      <c r="P256" s="224"/>
      <c r="Q256" s="224"/>
      <c r="R256" s="224"/>
    </row>
    <row r="257" spans="1:18" ht="15.75" customHeight="1" thickTop="1" thickBot="1">
      <c r="A257" s="230"/>
      <c r="B257" s="234"/>
      <c r="C257" s="196" t="s">
        <v>454</v>
      </c>
      <c r="D257" s="196">
        <v>1141076350</v>
      </c>
      <c r="E257" s="196" t="s">
        <v>160</v>
      </c>
      <c r="F257" s="196"/>
      <c r="G257" s="196" t="s">
        <v>146</v>
      </c>
      <c r="H257" s="196"/>
      <c r="I257" s="196"/>
      <c r="J257" s="347"/>
      <c r="K257" s="230"/>
      <c r="L257" s="230"/>
      <c r="M257" s="230"/>
      <c r="N257" s="230"/>
      <c r="O257" s="234"/>
      <c r="P257" s="224"/>
      <c r="Q257" s="224"/>
      <c r="R257" s="224"/>
    </row>
    <row r="258" spans="1:18" ht="15.75" customHeight="1" thickTop="1" thickBot="1">
      <c r="A258" s="230"/>
      <c r="B258" s="234"/>
      <c r="C258" s="196" t="s">
        <v>455</v>
      </c>
      <c r="D258" s="196">
        <v>1151819075</v>
      </c>
      <c r="E258" s="196"/>
      <c r="F258" s="196" t="s">
        <v>146</v>
      </c>
      <c r="G258" s="196"/>
      <c r="H258" s="196" t="s">
        <v>160</v>
      </c>
      <c r="I258" s="196"/>
      <c r="J258" s="347"/>
      <c r="K258" s="230"/>
      <c r="L258" s="230"/>
      <c r="M258" s="230"/>
      <c r="N258" s="230"/>
      <c r="O258" s="234"/>
      <c r="P258" s="224"/>
      <c r="Q258" s="224"/>
      <c r="R258" s="224"/>
    </row>
    <row r="259" spans="1:18" ht="15.75" customHeight="1" thickTop="1" thickBot="1">
      <c r="A259" s="230"/>
      <c r="B259" s="234"/>
      <c r="C259" s="196" t="s">
        <v>456</v>
      </c>
      <c r="D259" s="196">
        <v>1212342658</v>
      </c>
      <c r="E259" s="196"/>
      <c r="F259" s="196" t="s">
        <v>160</v>
      </c>
      <c r="G259" s="196"/>
      <c r="H259" s="196" t="s">
        <v>146</v>
      </c>
      <c r="I259" s="196"/>
      <c r="J259" s="347"/>
      <c r="K259" s="230"/>
      <c r="L259" s="230"/>
      <c r="M259" s="230"/>
      <c r="N259" s="230"/>
      <c r="O259" s="234"/>
      <c r="P259" s="224"/>
      <c r="Q259" s="224"/>
      <c r="R259" s="224"/>
    </row>
    <row r="260" spans="1:18" ht="15.75" customHeight="1" thickTop="1" thickBot="1">
      <c r="A260" s="230"/>
      <c r="B260" s="234"/>
      <c r="C260" s="196" t="s">
        <v>457</v>
      </c>
      <c r="D260" s="196">
        <v>1143435322</v>
      </c>
      <c r="E260" s="196"/>
      <c r="F260" s="196"/>
      <c r="G260" s="196"/>
      <c r="H260" s="196" t="s">
        <v>146</v>
      </c>
      <c r="I260" s="196" t="s">
        <v>160</v>
      </c>
      <c r="J260" s="347"/>
      <c r="K260" s="230"/>
      <c r="L260" s="230"/>
      <c r="M260" s="230"/>
      <c r="N260" s="230"/>
      <c r="O260" s="234"/>
      <c r="P260" s="224"/>
      <c r="Q260" s="224"/>
      <c r="R260" s="224"/>
    </row>
    <row r="261" spans="1:18" ht="15.75" customHeight="1" thickTop="1" thickBot="1">
      <c r="A261" s="230"/>
      <c r="B261" s="234"/>
      <c r="C261" s="196" t="s">
        <v>458</v>
      </c>
      <c r="D261" s="196">
        <v>1117096259</v>
      </c>
      <c r="E261" s="196"/>
      <c r="F261" s="196"/>
      <c r="G261" s="196" t="s">
        <v>160</v>
      </c>
      <c r="H261" s="196"/>
      <c r="I261" s="196" t="s">
        <v>160</v>
      </c>
      <c r="J261" s="347"/>
      <c r="K261" s="230"/>
      <c r="L261" s="230"/>
      <c r="M261" s="230"/>
      <c r="N261" s="230"/>
      <c r="O261" s="234"/>
      <c r="P261" s="224"/>
      <c r="Q261" s="224"/>
      <c r="R261" s="224"/>
    </row>
    <row r="262" spans="1:18" ht="15.75" customHeight="1" thickTop="1" thickBot="1">
      <c r="A262" s="230"/>
      <c r="B262" s="243"/>
      <c r="C262" s="196" t="s">
        <v>459</v>
      </c>
      <c r="D262" s="196">
        <v>1127020027</v>
      </c>
      <c r="E262" s="196" t="s">
        <v>157</v>
      </c>
      <c r="F262" s="196"/>
      <c r="G262" s="196" t="s">
        <v>146</v>
      </c>
      <c r="H262" s="196"/>
      <c r="I262" s="196" t="s">
        <v>146</v>
      </c>
      <c r="J262" s="353"/>
      <c r="K262" s="246"/>
      <c r="L262" s="246"/>
      <c r="M262" s="246"/>
      <c r="N262" s="246"/>
      <c r="O262" s="243"/>
      <c r="P262" s="245"/>
      <c r="Q262" s="245"/>
      <c r="R262" s="245"/>
    </row>
    <row r="263" spans="1:18" ht="15.75" customHeight="1" thickTop="1" thickBot="1">
      <c r="A263" s="230"/>
      <c r="B263" s="283" t="s">
        <v>107</v>
      </c>
      <c r="C263" s="197" t="s">
        <v>460</v>
      </c>
      <c r="D263" s="196">
        <v>1224070495</v>
      </c>
      <c r="E263" s="196" t="s">
        <v>160</v>
      </c>
      <c r="F263" s="196"/>
      <c r="G263" s="196" t="s">
        <v>160</v>
      </c>
      <c r="H263" s="196"/>
      <c r="I263" s="196" t="s">
        <v>160</v>
      </c>
      <c r="J263" s="355" t="s">
        <v>147</v>
      </c>
      <c r="K263" s="236" t="s">
        <v>148</v>
      </c>
      <c r="L263" s="236" t="s">
        <v>149</v>
      </c>
      <c r="M263" s="236" t="s">
        <v>147</v>
      </c>
      <c r="N263" s="236" t="s">
        <v>150</v>
      </c>
      <c r="O263" s="297" t="s">
        <v>461</v>
      </c>
      <c r="P263" s="239"/>
      <c r="Q263" s="239"/>
      <c r="R263" s="239"/>
    </row>
    <row r="264" spans="1:18" ht="15.75" customHeight="1" thickTop="1" thickBot="1">
      <c r="A264" s="230"/>
      <c r="B264" s="234"/>
      <c r="C264" s="197" t="s">
        <v>462</v>
      </c>
      <c r="D264" s="196">
        <v>1100167153</v>
      </c>
      <c r="E264" s="196" t="s">
        <v>146</v>
      </c>
      <c r="F264" s="196"/>
      <c r="G264" s="196" t="s">
        <v>146</v>
      </c>
      <c r="H264" s="196"/>
      <c r="I264" s="196" t="s">
        <v>146</v>
      </c>
      <c r="J264" s="347"/>
      <c r="K264" s="230"/>
      <c r="L264" s="230"/>
      <c r="M264" s="230"/>
      <c r="N264" s="230"/>
      <c r="O264" s="234"/>
      <c r="P264" s="224"/>
      <c r="Q264" s="224"/>
      <c r="R264" s="224"/>
    </row>
    <row r="265" spans="1:18" ht="15.75" customHeight="1" thickTop="1" thickBot="1">
      <c r="A265" s="230"/>
      <c r="B265" s="234"/>
      <c r="C265" s="197" t="s">
        <v>463</v>
      </c>
      <c r="D265" s="196">
        <v>1063593393</v>
      </c>
      <c r="E265" s="196"/>
      <c r="F265" s="196" t="s">
        <v>160</v>
      </c>
      <c r="G265" s="196"/>
      <c r="H265" s="196" t="s">
        <v>160</v>
      </c>
      <c r="I265" s="196"/>
      <c r="J265" s="347"/>
      <c r="K265" s="236" t="str">
        <f ca="1">IFERROR(__xludf.DUMMYFUNCTION("TEXTJOIN("" . "", TRUE, 
ARRAYFORMULA(
  {""A+"", ""A-"", ""B+"", ""B-"", ""O+"", ""O-"", ""AB+"", ""AB-""} &amp; 
  IMPORTRANGE(""https://docs.google.com/spreadsheets/d/1mpguJPr_mG_nGzxczFne84Im0A-cnZAsGvfJ90SyeLk/edit?gid=0#gid=0"", ""STOCK Mang!F37:M37"")
"&amp;"))"),"#REF!")</f>
        <v>#REF!</v>
      </c>
      <c r="L265" s="230"/>
      <c r="M265" s="230"/>
      <c r="N265" s="230"/>
      <c r="O265" s="234"/>
      <c r="P265" s="224"/>
      <c r="Q265" s="224"/>
      <c r="R265" s="224"/>
    </row>
    <row r="266" spans="1:18" ht="15.75" customHeight="1" thickTop="1" thickBot="1">
      <c r="A266" s="230"/>
      <c r="B266" s="234"/>
      <c r="C266" s="197" t="s">
        <v>464</v>
      </c>
      <c r="D266" s="196">
        <v>1271917753</v>
      </c>
      <c r="E266" s="196" t="s">
        <v>146</v>
      </c>
      <c r="F266" s="196" t="s">
        <v>146</v>
      </c>
      <c r="G266" s="196"/>
      <c r="H266" s="196" t="s">
        <v>146</v>
      </c>
      <c r="I266" s="196" t="s">
        <v>146</v>
      </c>
      <c r="J266" s="347"/>
      <c r="K266" s="230"/>
      <c r="L266" s="230"/>
      <c r="M266" s="230"/>
      <c r="N266" s="230"/>
      <c r="O266" s="234"/>
      <c r="P266" s="224"/>
      <c r="Q266" s="224"/>
      <c r="R266" s="224"/>
    </row>
    <row r="267" spans="1:18" ht="15.75" customHeight="1" thickTop="1" thickBot="1">
      <c r="A267" s="230"/>
      <c r="B267" s="234"/>
      <c r="C267" s="197" t="s">
        <v>465</v>
      </c>
      <c r="D267" s="196">
        <v>1152099356</v>
      </c>
      <c r="E267" s="196"/>
      <c r="F267" s="196"/>
      <c r="G267" s="196"/>
      <c r="H267" s="196"/>
      <c r="I267" s="196"/>
      <c r="J267" s="347"/>
      <c r="K267" s="230"/>
      <c r="L267" s="230"/>
      <c r="M267" s="230"/>
      <c r="N267" s="230"/>
      <c r="O267" s="234"/>
      <c r="P267" s="224"/>
      <c r="Q267" s="224"/>
      <c r="R267" s="224"/>
    </row>
    <row r="268" spans="1:18" ht="15.75" customHeight="1" thickTop="1" thickBot="1">
      <c r="A268" s="230"/>
      <c r="B268" s="234"/>
      <c r="C268" s="197" t="s">
        <v>466</v>
      </c>
      <c r="D268" s="196">
        <v>1272260285</v>
      </c>
      <c r="E268" s="196"/>
      <c r="F268" s="196" t="s">
        <v>146</v>
      </c>
      <c r="G268" s="196" t="s">
        <v>146</v>
      </c>
      <c r="H268" s="196"/>
      <c r="I268" s="196" t="s">
        <v>146</v>
      </c>
      <c r="J268" s="347"/>
      <c r="K268" s="230"/>
      <c r="L268" s="230"/>
      <c r="M268" s="230"/>
      <c r="N268" s="230"/>
      <c r="O268" s="234"/>
      <c r="P268" s="224"/>
      <c r="Q268" s="224"/>
      <c r="R268" s="224"/>
    </row>
    <row r="269" spans="1:18" ht="15.75" customHeight="1" thickTop="1" thickBot="1">
      <c r="A269" s="230"/>
      <c r="B269" s="284"/>
      <c r="C269" s="196" t="s">
        <v>467</v>
      </c>
      <c r="D269" s="196">
        <v>1123463391</v>
      </c>
      <c r="E269" s="196"/>
      <c r="F269" s="196"/>
      <c r="G269" s="196" t="s">
        <v>146</v>
      </c>
      <c r="H269" s="196"/>
      <c r="I269" s="196" t="s">
        <v>160</v>
      </c>
      <c r="J269" s="357"/>
      <c r="K269" s="246"/>
      <c r="L269" s="246"/>
      <c r="M269" s="246"/>
      <c r="N269" s="246"/>
      <c r="O269" s="243"/>
      <c r="P269" s="245"/>
      <c r="Q269" s="245"/>
      <c r="R269" s="245"/>
    </row>
    <row r="270" spans="1:18" ht="15.75" customHeight="1" thickTop="1" thickBot="1">
      <c r="A270" s="230"/>
      <c r="B270" s="277" t="s">
        <v>468</v>
      </c>
      <c r="C270" s="197" t="s">
        <v>469</v>
      </c>
      <c r="D270" s="196">
        <v>1114909801</v>
      </c>
      <c r="E270" s="196" t="s">
        <v>160</v>
      </c>
      <c r="F270" s="196" t="s">
        <v>160</v>
      </c>
      <c r="G270" s="196" t="s">
        <v>160</v>
      </c>
      <c r="H270" s="196" t="s">
        <v>160</v>
      </c>
      <c r="I270" s="196" t="s">
        <v>160</v>
      </c>
      <c r="J270" s="355" t="s">
        <v>147</v>
      </c>
      <c r="K270" s="299" t="s">
        <v>148</v>
      </c>
      <c r="L270" s="236" t="s">
        <v>149</v>
      </c>
      <c r="M270" s="236" t="s">
        <v>147</v>
      </c>
      <c r="N270" s="236" t="s">
        <v>150</v>
      </c>
      <c r="O270" s="301" t="s">
        <v>461</v>
      </c>
      <c r="P270" s="304"/>
      <c r="Q270" s="311"/>
      <c r="R270" s="314"/>
    </row>
    <row r="271" spans="1:18" ht="15.75" customHeight="1" thickTop="1" thickBot="1">
      <c r="A271" s="230"/>
      <c r="B271" s="234"/>
      <c r="C271" s="197" t="s">
        <v>470</v>
      </c>
      <c r="D271" s="196">
        <v>1146700799</v>
      </c>
      <c r="E271" s="196" t="s">
        <v>146</v>
      </c>
      <c r="F271" s="196"/>
      <c r="G271" s="196"/>
      <c r="H271" s="196"/>
      <c r="I271" s="196"/>
      <c r="J271" s="347"/>
      <c r="K271" s="300"/>
      <c r="L271" s="230"/>
      <c r="M271" s="230"/>
      <c r="N271" s="230"/>
      <c r="O271" s="302"/>
      <c r="P271" s="305"/>
      <c r="Q271" s="312"/>
      <c r="R271" s="307"/>
    </row>
    <row r="272" spans="1:18" ht="15.75" customHeight="1" thickTop="1" thickBot="1">
      <c r="A272" s="230"/>
      <c r="B272" s="234"/>
      <c r="C272" s="197" t="s">
        <v>471</v>
      </c>
      <c r="D272" s="196">
        <v>1110124753</v>
      </c>
      <c r="E272" s="196"/>
      <c r="F272" s="196" t="s">
        <v>146</v>
      </c>
      <c r="G272" s="196" t="s">
        <v>146</v>
      </c>
      <c r="H272" s="196" t="s">
        <v>146</v>
      </c>
      <c r="I272" s="196" t="s">
        <v>146</v>
      </c>
      <c r="J272" s="347"/>
      <c r="K272" s="299" t="str">
        <f ca="1">IFERROR(__xludf.DUMMYFUNCTION("TEXTJOIN("" . "", TRUE, 
  ARRAYFORMULA(
    {""A+"", ""A-"", ""B+"", ""B-"", ""O+"", ""O-"", ""AB+"", ""AB-""} &amp; 
    INT(IMPORTRANGE(""https://docs.google.com/spreadsheets/d/1mpguJPr_mG_nGzxczFne84Im0A-cnZAsGvfJ90SyeLk"", ""STOCK Mang!F38:M38""))
  )
)
"),"#REF!")</f>
        <v>#REF!</v>
      </c>
      <c r="L272" s="230"/>
      <c r="M272" s="230"/>
      <c r="N272" s="230"/>
      <c r="O272" s="302"/>
      <c r="P272" s="305"/>
      <c r="Q272" s="312"/>
      <c r="R272" s="307"/>
    </row>
    <row r="273" spans="1:18" ht="15.75" customHeight="1" thickTop="1" thickBot="1">
      <c r="A273" s="230"/>
      <c r="B273" s="234"/>
      <c r="C273" s="197"/>
      <c r="D273" s="196"/>
      <c r="E273" s="196"/>
      <c r="F273" s="196"/>
      <c r="G273" s="196"/>
      <c r="H273" s="196"/>
      <c r="I273" s="196"/>
      <c r="J273" s="347"/>
      <c r="K273" s="307"/>
      <c r="L273" s="230"/>
      <c r="M273" s="230"/>
      <c r="N273" s="230"/>
      <c r="O273" s="302"/>
      <c r="P273" s="305"/>
      <c r="Q273" s="312"/>
      <c r="R273" s="307"/>
    </row>
    <row r="274" spans="1:18" ht="15.75" customHeight="1" thickTop="1" thickBot="1">
      <c r="A274" s="230"/>
      <c r="B274" s="278"/>
      <c r="C274" s="197"/>
      <c r="D274" s="196"/>
      <c r="E274" s="196"/>
      <c r="F274" s="196"/>
      <c r="G274" s="196"/>
      <c r="H274" s="196"/>
      <c r="I274" s="196"/>
      <c r="J274" s="357"/>
      <c r="K274" s="300"/>
      <c r="L274" s="246"/>
      <c r="M274" s="246"/>
      <c r="N274" s="246"/>
      <c r="O274" s="303"/>
      <c r="P274" s="306"/>
      <c r="Q274" s="313"/>
      <c r="R274" s="300"/>
    </row>
    <row r="275" spans="1:18" ht="22.5" customHeight="1" thickTop="1" thickBot="1">
      <c r="A275" s="230"/>
      <c r="B275" s="279" t="s">
        <v>472</v>
      </c>
      <c r="C275" s="198" t="s">
        <v>473</v>
      </c>
      <c r="D275" s="199">
        <v>1159332025</v>
      </c>
      <c r="E275" s="196" t="s">
        <v>153</v>
      </c>
      <c r="F275" s="196" t="s">
        <v>160</v>
      </c>
      <c r="G275" s="196"/>
      <c r="H275" s="196"/>
      <c r="I275" s="196" t="s">
        <v>153</v>
      </c>
      <c r="J275" s="355" t="s">
        <v>147</v>
      </c>
      <c r="K275" s="236" t="s">
        <v>148</v>
      </c>
      <c r="L275" s="299" t="s">
        <v>149</v>
      </c>
      <c r="M275" s="299" t="s">
        <v>147</v>
      </c>
      <c r="N275" s="308" t="s">
        <v>150</v>
      </c>
      <c r="O275" s="297" t="s">
        <v>461</v>
      </c>
      <c r="P275" s="239"/>
      <c r="Q275" s="311"/>
      <c r="R275" s="314"/>
    </row>
    <row r="276" spans="1:18" ht="20.25" customHeight="1" thickTop="1" thickBot="1">
      <c r="A276" s="230"/>
      <c r="B276" s="234"/>
      <c r="C276" s="198" t="s">
        <v>474</v>
      </c>
      <c r="D276" s="199">
        <v>1220972987</v>
      </c>
      <c r="E276" s="197" t="s">
        <v>146</v>
      </c>
      <c r="F276" s="197"/>
      <c r="G276" s="197"/>
      <c r="H276" s="197"/>
      <c r="I276" s="197"/>
      <c r="J276" s="347"/>
      <c r="K276" s="230"/>
      <c r="L276" s="307"/>
      <c r="M276" s="307"/>
      <c r="N276" s="309"/>
      <c r="O276" s="234"/>
      <c r="P276" s="224"/>
      <c r="Q276" s="312"/>
      <c r="R276" s="307"/>
    </row>
    <row r="277" spans="1:18" ht="20.25" customHeight="1" thickTop="1" thickBot="1">
      <c r="A277" s="230"/>
      <c r="B277" s="234"/>
      <c r="C277" s="198" t="s">
        <v>475</v>
      </c>
      <c r="D277" s="199">
        <v>1094620921</v>
      </c>
      <c r="E277" s="196"/>
      <c r="F277" s="196"/>
      <c r="G277" s="196" t="s">
        <v>160</v>
      </c>
      <c r="H277" s="196" t="s">
        <v>160</v>
      </c>
      <c r="I277" s="196" t="s">
        <v>160</v>
      </c>
      <c r="J277" s="347"/>
      <c r="K277" s="236" t="str">
        <f ca="1">IFERROR(__xludf.DUMMYFUNCTION("TEXTJOIN("" . "", TRUE, 
ARRAYFORMULA(
  {""A+"", ""A-"", ""B+"", ""B-"", ""O+"", ""O-"", ""AB+"", ""AB-""} &amp; 
  IMPORTRANGE(""https://docs.google.com/spreadsheets/d/1mpguJPr_mG_nGzxczFne84Im0A-cnZAsGvfJ90SyeLk/edit?gid=0#gid=0"", ""STOCK Mang!F41:M41"")
"&amp;"))"),"#REF!")</f>
        <v>#REF!</v>
      </c>
      <c r="L277" s="307"/>
      <c r="M277" s="307"/>
      <c r="N277" s="309"/>
      <c r="O277" s="234"/>
      <c r="P277" s="224"/>
      <c r="Q277" s="312"/>
      <c r="R277" s="307"/>
    </row>
    <row r="278" spans="1:18" ht="20.25" customHeight="1" thickTop="1" thickBot="1">
      <c r="A278" s="230"/>
      <c r="B278" s="234"/>
      <c r="C278" s="197" t="s">
        <v>476</v>
      </c>
      <c r="D278" s="196">
        <v>1153839608</v>
      </c>
      <c r="E278" s="196"/>
      <c r="F278" s="196" t="s">
        <v>146</v>
      </c>
      <c r="G278" s="196" t="s">
        <v>146</v>
      </c>
      <c r="H278" s="196" t="s">
        <v>146</v>
      </c>
      <c r="I278" s="196" t="s">
        <v>146</v>
      </c>
      <c r="J278" s="347"/>
      <c r="K278" s="230"/>
      <c r="L278" s="307"/>
      <c r="M278" s="307"/>
      <c r="N278" s="309"/>
      <c r="O278" s="234"/>
      <c r="P278" s="224"/>
      <c r="Q278" s="312"/>
      <c r="R278" s="307"/>
    </row>
    <row r="279" spans="1:18" ht="20.25" customHeight="1" thickTop="1" thickBot="1">
      <c r="A279" s="230"/>
      <c r="B279" s="234"/>
      <c r="C279" s="197" t="s">
        <v>477</v>
      </c>
      <c r="D279" s="196">
        <v>1117943021</v>
      </c>
      <c r="E279" s="196" t="s">
        <v>160</v>
      </c>
      <c r="F279" s="196"/>
      <c r="G279" s="196"/>
      <c r="H279" s="196"/>
      <c r="I279" s="196"/>
      <c r="J279" s="347"/>
      <c r="K279" s="230"/>
      <c r="L279" s="307"/>
      <c r="M279" s="307"/>
      <c r="N279" s="309"/>
      <c r="O279" s="234"/>
      <c r="P279" s="224"/>
      <c r="Q279" s="312"/>
      <c r="R279" s="307"/>
    </row>
    <row r="280" spans="1:18" ht="20.25" customHeight="1" thickTop="1" thickBot="1">
      <c r="A280" s="230"/>
      <c r="B280" s="234"/>
      <c r="C280" s="197"/>
      <c r="D280" s="196"/>
      <c r="E280" s="196"/>
      <c r="F280" s="196"/>
      <c r="G280" s="196"/>
      <c r="H280" s="196"/>
      <c r="I280" s="196"/>
      <c r="J280" s="347"/>
      <c r="K280" s="230"/>
      <c r="L280" s="307"/>
      <c r="M280" s="307"/>
      <c r="N280" s="309"/>
      <c r="O280" s="234"/>
      <c r="P280" s="224"/>
      <c r="Q280" s="312"/>
      <c r="R280" s="307"/>
    </row>
    <row r="281" spans="1:18" ht="20.25" customHeight="1" thickTop="1" thickBot="1">
      <c r="A281" s="230"/>
      <c r="B281" s="234"/>
      <c r="C281" s="197"/>
      <c r="D281" s="196"/>
      <c r="E281" s="196"/>
      <c r="F281" s="196"/>
      <c r="G281" s="196"/>
      <c r="H281" s="196"/>
      <c r="I281" s="196"/>
      <c r="J281" s="347"/>
      <c r="K281" s="230"/>
      <c r="L281" s="307"/>
      <c r="M281" s="307"/>
      <c r="N281" s="309"/>
      <c r="O281" s="234"/>
      <c r="P281" s="224"/>
      <c r="Q281" s="312"/>
      <c r="R281" s="307"/>
    </row>
    <row r="282" spans="1:18" ht="20.25" customHeight="1" thickTop="1" thickBot="1">
      <c r="A282" s="230"/>
      <c r="B282" s="278"/>
      <c r="C282" s="197"/>
      <c r="D282" s="196"/>
      <c r="E282" s="196"/>
      <c r="F282" s="196"/>
      <c r="G282" s="196"/>
      <c r="H282" s="196"/>
      <c r="I282" s="196"/>
      <c r="J282" s="357"/>
      <c r="K282" s="246"/>
      <c r="L282" s="300"/>
      <c r="M282" s="300"/>
      <c r="N282" s="310"/>
      <c r="O282" s="243"/>
      <c r="P282" s="245"/>
      <c r="Q282" s="313"/>
      <c r="R282" s="300"/>
    </row>
    <row r="283" spans="1:18" ht="20.25" customHeight="1" thickTop="1" thickBot="1">
      <c r="A283" s="230"/>
      <c r="B283" s="279" t="s">
        <v>478</v>
      </c>
      <c r="C283" s="200" t="s">
        <v>479</v>
      </c>
      <c r="D283" s="201">
        <v>1121066392</v>
      </c>
      <c r="E283" s="197"/>
      <c r="F283" s="197" t="s">
        <v>153</v>
      </c>
      <c r="G283" s="197"/>
      <c r="H283" s="197"/>
      <c r="I283" s="197" t="s">
        <v>153</v>
      </c>
      <c r="J283" s="319" t="s">
        <v>147</v>
      </c>
      <c r="K283" s="358" t="s">
        <v>148</v>
      </c>
      <c r="L283" s="299" t="s">
        <v>149</v>
      </c>
      <c r="M283" s="299" t="s">
        <v>147</v>
      </c>
      <c r="N283" s="308" t="s">
        <v>150</v>
      </c>
      <c r="O283" s="315" t="s">
        <v>480</v>
      </c>
      <c r="P283" s="304"/>
      <c r="Q283" s="311"/>
      <c r="R283" s="314"/>
    </row>
    <row r="284" spans="1:18" ht="21.75" customHeight="1" thickTop="1" thickBot="1">
      <c r="A284" s="230"/>
      <c r="B284" s="234"/>
      <c r="C284" s="200" t="s">
        <v>481</v>
      </c>
      <c r="D284" s="202">
        <v>1147559868</v>
      </c>
      <c r="E284" s="197"/>
      <c r="F284" s="197"/>
      <c r="G284" s="197" t="s">
        <v>146</v>
      </c>
      <c r="H284" s="197" t="s">
        <v>160</v>
      </c>
      <c r="I284" s="197"/>
      <c r="J284" s="312"/>
      <c r="K284" s="230"/>
      <c r="L284" s="307"/>
      <c r="M284" s="307"/>
      <c r="N284" s="309"/>
      <c r="O284" s="302"/>
      <c r="P284" s="305"/>
      <c r="Q284" s="312"/>
      <c r="R284" s="307"/>
    </row>
    <row r="285" spans="1:18" ht="21.75" customHeight="1" thickTop="1" thickBot="1">
      <c r="A285" s="230"/>
      <c r="B285" s="234"/>
      <c r="C285" s="200" t="s">
        <v>482</v>
      </c>
      <c r="D285" s="202">
        <v>1123499849</v>
      </c>
      <c r="E285" s="197" t="s">
        <v>146</v>
      </c>
      <c r="F285" s="197"/>
      <c r="G285" s="197" t="s">
        <v>160</v>
      </c>
      <c r="H285" s="197"/>
      <c r="I285" s="197" t="s">
        <v>146</v>
      </c>
      <c r="J285" s="312"/>
      <c r="K285" s="236" t="str">
        <f ca="1">IFERROR(__xludf.DUMMYFUNCTION("TEXTJOIN("" . "", TRUE, 
ARRAYFORMULA(
  {""A+"", ""A-"", ""B+"", ""B-"", ""O+"", ""O-"", ""AB+"", ""AB-""} &amp; 
  IMPORTRANGE(""https://docs.google.com/spreadsheets/d/1mpguJPr_mG_nGzxczFne84Im0A-cnZAsGvfJ90SyeLk/edit?gid=0#gid=0"", ""STOCK Mang!F41:M41"")
"&amp;"))"),"#REF!")</f>
        <v>#REF!</v>
      </c>
      <c r="L285" s="307"/>
      <c r="M285" s="307"/>
      <c r="N285" s="309"/>
      <c r="O285" s="302"/>
      <c r="P285" s="305"/>
      <c r="Q285" s="312"/>
      <c r="R285" s="307"/>
    </row>
    <row r="286" spans="1:18" ht="21.75" customHeight="1" thickTop="1" thickBot="1">
      <c r="A286" s="230"/>
      <c r="B286" s="234"/>
      <c r="C286" s="200" t="s">
        <v>483</v>
      </c>
      <c r="D286" s="202">
        <v>1152467428</v>
      </c>
      <c r="E286" s="197" t="s">
        <v>146</v>
      </c>
      <c r="F286" s="197" t="s">
        <v>160</v>
      </c>
      <c r="G286" s="197" t="s">
        <v>153</v>
      </c>
      <c r="H286" s="197"/>
      <c r="I286" s="197"/>
      <c r="J286" s="312"/>
      <c r="K286" s="230"/>
      <c r="L286" s="307"/>
      <c r="M286" s="307"/>
      <c r="N286" s="309"/>
      <c r="O286" s="302"/>
      <c r="P286" s="305"/>
      <c r="Q286" s="312"/>
      <c r="R286" s="307"/>
    </row>
    <row r="287" spans="1:18" ht="21.75" customHeight="1" thickTop="1" thickBot="1">
      <c r="A287" s="230"/>
      <c r="B287" s="234"/>
      <c r="C287" s="200" t="s">
        <v>484</v>
      </c>
      <c r="D287" s="202">
        <v>1123268586</v>
      </c>
      <c r="E287" s="197" t="s">
        <v>160</v>
      </c>
      <c r="F287" s="197"/>
      <c r="G287" s="197"/>
      <c r="H287" s="197"/>
      <c r="I287" s="197" t="s">
        <v>160</v>
      </c>
      <c r="J287" s="312"/>
      <c r="K287" s="230"/>
      <c r="L287" s="307"/>
      <c r="M287" s="307"/>
      <c r="N287" s="309"/>
      <c r="O287" s="302"/>
      <c r="P287" s="305"/>
      <c r="Q287" s="312"/>
      <c r="R287" s="307"/>
    </row>
    <row r="288" spans="1:18" ht="21.75" customHeight="1" thickTop="1" thickBot="1">
      <c r="A288" s="230"/>
      <c r="B288" s="234"/>
      <c r="C288" s="200" t="s">
        <v>485</v>
      </c>
      <c r="D288" s="203">
        <v>1101986451</v>
      </c>
      <c r="E288" s="197"/>
      <c r="F288" s="197" t="s">
        <v>146</v>
      </c>
      <c r="G288" s="197"/>
      <c r="H288" s="197"/>
      <c r="I288" s="197" t="s">
        <v>153</v>
      </c>
      <c r="J288" s="312"/>
      <c r="K288" s="230"/>
      <c r="L288" s="307"/>
      <c r="M288" s="307"/>
      <c r="N288" s="309"/>
      <c r="O288" s="302"/>
      <c r="P288" s="305"/>
      <c r="Q288" s="312"/>
      <c r="R288" s="307"/>
    </row>
    <row r="289" spans="1:18" ht="21.75" customHeight="1" thickTop="1" thickBot="1">
      <c r="A289" s="230"/>
      <c r="B289" s="278"/>
      <c r="C289" s="196" t="s">
        <v>486</v>
      </c>
      <c r="D289" s="202">
        <v>1157537657</v>
      </c>
      <c r="E289" s="196"/>
      <c r="F289" s="204" t="s">
        <v>153</v>
      </c>
      <c r="G289" s="204" t="s">
        <v>153</v>
      </c>
      <c r="H289" s="204" t="s">
        <v>146</v>
      </c>
      <c r="I289" s="196"/>
      <c r="J289" s="313"/>
      <c r="K289" s="246"/>
      <c r="L289" s="300"/>
      <c r="M289" s="300"/>
      <c r="N289" s="310"/>
      <c r="O289" s="316"/>
      <c r="P289" s="306"/>
      <c r="Q289" s="313"/>
      <c r="R289" s="300"/>
    </row>
    <row r="290" spans="1:18" ht="15.75" customHeight="1" thickTop="1" thickBot="1">
      <c r="A290" s="230"/>
      <c r="B290" s="280" t="s">
        <v>119</v>
      </c>
      <c r="C290" s="197" t="s">
        <v>487</v>
      </c>
      <c r="D290" s="196">
        <v>1020216780</v>
      </c>
      <c r="E290" s="196" t="s">
        <v>146</v>
      </c>
      <c r="F290" s="196" t="s">
        <v>146</v>
      </c>
      <c r="G290" s="196"/>
      <c r="H290" s="196"/>
      <c r="I290" s="196"/>
      <c r="J290" s="319" t="s">
        <v>147</v>
      </c>
      <c r="K290" s="236" t="s">
        <v>148</v>
      </c>
      <c r="L290" s="236" t="s">
        <v>149</v>
      </c>
      <c r="M290" s="236" t="s">
        <v>165</v>
      </c>
      <c r="N290" s="236" t="s">
        <v>150</v>
      </c>
      <c r="O290" s="320" t="s">
        <v>488</v>
      </c>
      <c r="P290" s="239"/>
      <c r="Q290" s="317"/>
      <c r="R290" s="239"/>
    </row>
    <row r="291" spans="1:18" ht="15.75" customHeight="1" thickTop="1" thickBot="1">
      <c r="A291" s="230"/>
      <c r="B291" s="234"/>
      <c r="C291" s="197" t="s">
        <v>489</v>
      </c>
      <c r="D291" s="196">
        <v>1023083676</v>
      </c>
      <c r="E291" s="196" t="s">
        <v>146</v>
      </c>
      <c r="F291" s="196" t="s">
        <v>146</v>
      </c>
      <c r="G291" s="196" t="s">
        <v>146</v>
      </c>
      <c r="H291" s="196" t="s">
        <v>146</v>
      </c>
      <c r="I291" s="196" t="s">
        <v>146</v>
      </c>
      <c r="J291" s="312"/>
      <c r="K291" s="230"/>
      <c r="L291" s="230"/>
      <c r="M291" s="230"/>
      <c r="N291" s="230"/>
      <c r="O291" s="234"/>
      <c r="P291" s="224"/>
      <c r="Q291" s="305"/>
      <c r="R291" s="224"/>
    </row>
    <row r="292" spans="1:18" ht="15.75" customHeight="1" thickTop="1" thickBot="1">
      <c r="A292" s="230"/>
      <c r="B292" s="234"/>
      <c r="C292" s="197" t="s">
        <v>490</v>
      </c>
      <c r="D292" s="196">
        <v>1121527523</v>
      </c>
      <c r="E292" s="196" t="s">
        <v>146</v>
      </c>
      <c r="F292" s="196" t="s">
        <v>146</v>
      </c>
      <c r="G292" s="196" t="s">
        <v>146</v>
      </c>
      <c r="H292" s="196" t="s">
        <v>146</v>
      </c>
      <c r="I292" s="196" t="s">
        <v>146</v>
      </c>
      <c r="J292" s="312"/>
      <c r="K292" s="236" t="str">
        <f ca="1">IFERROR(__xludf.DUMMYFUNCTION("TEXTJOIN("" . "", TRUE, 
ARRAYFORMULA(
  {""A+"", ""A-"", ""B+"", ""B-"", ""O+"", ""O-"", ""AB+"", ""AB-""} &amp; 
  IMPORTRANGE(""https://docs.google.com/spreadsheets/d/1mpguJPr_mG_nGzxczFne84Im0A-cnZAsGvfJ90SyeLk/edit?gid=0#gid=0"", ""STOCK Mang!F39:M39"")
"&amp;"))"),"#REF!")</f>
        <v>#REF!</v>
      </c>
      <c r="L292" s="230"/>
      <c r="M292" s="230"/>
      <c r="N292" s="230"/>
      <c r="O292" s="234"/>
      <c r="P292" s="224"/>
      <c r="Q292" s="305"/>
      <c r="R292" s="224"/>
    </row>
    <row r="293" spans="1:18" ht="15.75" customHeight="1" thickTop="1" thickBot="1">
      <c r="A293" s="230"/>
      <c r="B293" s="234"/>
      <c r="C293" s="197" t="s">
        <v>491</v>
      </c>
      <c r="D293" s="196">
        <v>1026291674</v>
      </c>
      <c r="E293" s="196" t="s">
        <v>160</v>
      </c>
      <c r="F293" s="196" t="s">
        <v>160</v>
      </c>
      <c r="G293" s="196" t="s">
        <v>160</v>
      </c>
      <c r="H293" s="196" t="s">
        <v>160</v>
      </c>
      <c r="I293" s="196" t="s">
        <v>160</v>
      </c>
      <c r="J293" s="312"/>
      <c r="K293" s="230"/>
      <c r="L293" s="230"/>
      <c r="M293" s="230"/>
      <c r="N293" s="230"/>
      <c r="O293" s="234"/>
      <c r="P293" s="224"/>
      <c r="Q293" s="305"/>
      <c r="R293" s="224"/>
    </row>
    <row r="294" spans="1:18" ht="15.75" customHeight="1" thickTop="1" thickBot="1">
      <c r="A294" s="230"/>
      <c r="B294" s="234"/>
      <c r="C294" s="197"/>
      <c r="D294" s="196"/>
      <c r="E294" s="196"/>
      <c r="F294" s="196"/>
      <c r="G294" s="196"/>
      <c r="H294" s="196"/>
      <c r="I294" s="196"/>
      <c r="J294" s="312"/>
      <c r="K294" s="230"/>
      <c r="L294" s="230"/>
      <c r="M294" s="230"/>
      <c r="N294" s="230"/>
      <c r="O294" s="234"/>
      <c r="P294" s="224"/>
      <c r="Q294" s="305"/>
      <c r="R294" s="224"/>
    </row>
    <row r="295" spans="1:18" ht="15.75" customHeight="1" thickTop="1" thickBot="1">
      <c r="A295" s="230"/>
      <c r="B295" s="234"/>
      <c r="C295" s="197"/>
      <c r="D295" s="196"/>
      <c r="E295" s="196"/>
      <c r="F295" s="196"/>
      <c r="G295" s="196"/>
      <c r="H295" s="196"/>
      <c r="I295" s="196"/>
      <c r="J295" s="312"/>
      <c r="K295" s="230"/>
      <c r="L295" s="230"/>
      <c r="M295" s="230"/>
      <c r="N295" s="230"/>
      <c r="O295" s="234"/>
      <c r="P295" s="224"/>
      <c r="Q295" s="305"/>
      <c r="R295" s="224"/>
    </row>
    <row r="296" spans="1:18" ht="15.75" customHeight="1" thickTop="1" thickBot="1">
      <c r="A296" s="237"/>
      <c r="B296" s="281"/>
      <c r="C296" s="197"/>
      <c r="D296" s="196"/>
      <c r="E296" s="196"/>
      <c r="F296" s="196"/>
      <c r="G296" s="196"/>
      <c r="H296" s="196"/>
      <c r="I296" s="196"/>
      <c r="J296" s="313"/>
      <c r="K296" s="230"/>
      <c r="L296" s="230"/>
      <c r="M296" s="246"/>
      <c r="N296" s="250"/>
      <c r="O296" s="321"/>
      <c r="P296" s="259"/>
      <c r="Q296" s="318"/>
      <c r="R296" s="259"/>
    </row>
    <row r="297" spans="1:18" ht="15.75" customHeight="1"/>
    <row r="298" spans="1:18" ht="15.75" customHeight="1"/>
    <row r="299" spans="1:18" ht="15.75" customHeight="1"/>
    <row r="300" spans="1:18" ht="15.75" customHeight="1"/>
    <row r="301" spans="1:18" ht="15.75" customHeight="1"/>
    <row r="302" spans="1:18" ht="15.75" customHeight="1"/>
    <row r="303" spans="1:18" ht="15.75" customHeight="1"/>
    <row r="304" spans="1:18"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7">
    <mergeCell ref="K248:K249"/>
    <mergeCell ref="K250:K253"/>
    <mergeCell ref="K254:K255"/>
    <mergeCell ref="J248:J253"/>
    <mergeCell ref="J254:J262"/>
    <mergeCell ref="J263:J269"/>
    <mergeCell ref="J270:J274"/>
    <mergeCell ref="J275:J282"/>
    <mergeCell ref="K283:K284"/>
    <mergeCell ref="R199:R206"/>
    <mergeCell ref="P208:P212"/>
    <mergeCell ref="Q208:Q212"/>
    <mergeCell ref="R208:R212"/>
    <mergeCell ref="B199:B206"/>
    <mergeCell ref="K199:K200"/>
    <mergeCell ref="L199:L206"/>
    <mergeCell ref="M199:M206"/>
    <mergeCell ref="N199:N206"/>
    <mergeCell ref="K202:K206"/>
    <mergeCell ref="K210:K212"/>
    <mergeCell ref="B189:B198"/>
    <mergeCell ref="A128:A148"/>
    <mergeCell ref="A149:A206"/>
    <mergeCell ref="B89:B93"/>
    <mergeCell ref="B85:B88"/>
    <mergeCell ref="B94:B100"/>
    <mergeCell ref="A1:A4"/>
    <mergeCell ref="B1:B4"/>
    <mergeCell ref="C1:R1"/>
    <mergeCell ref="C2:J2"/>
    <mergeCell ref="K2:K4"/>
    <mergeCell ref="L2:M3"/>
    <mergeCell ref="R2:R4"/>
    <mergeCell ref="P42:P50"/>
    <mergeCell ref="Q42:Q50"/>
    <mergeCell ref="R42:R50"/>
    <mergeCell ref="J37:J41"/>
    <mergeCell ref="J42:J50"/>
    <mergeCell ref="K42:K43"/>
    <mergeCell ref="L42:L50"/>
    <mergeCell ref="M42:M50"/>
    <mergeCell ref="N42:N50"/>
    <mergeCell ref="O42:O50"/>
    <mergeCell ref="K44:K50"/>
    <mergeCell ref="B5:B17"/>
    <mergeCell ref="B28:B36"/>
    <mergeCell ref="B37:B41"/>
    <mergeCell ref="B42:B50"/>
    <mergeCell ref="Q2:Q4"/>
    <mergeCell ref="Q5:Q17"/>
    <mergeCell ref="R5:R17"/>
    <mergeCell ref="Q18:Q27"/>
    <mergeCell ref="R18:R27"/>
    <mergeCell ref="C3:C4"/>
    <mergeCell ref="D3:D4"/>
    <mergeCell ref="E3:E4"/>
    <mergeCell ref="F3:F4"/>
    <mergeCell ref="G3:G4"/>
    <mergeCell ref="H3:H4"/>
    <mergeCell ref="K28:K30"/>
    <mergeCell ref="L28:L36"/>
    <mergeCell ref="M28:M36"/>
    <mergeCell ref="N28:N36"/>
    <mergeCell ref="K31:K36"/>
    <mergeCell ref="N2:N4"/>
    <mergeCell ref="O2:O4"/>
    <mergeCell ref="O18:O27"/>
    <mergeCell ref="P18:P27"/>
    <mergeCell ref="B18:B27"/>
    <mergeCell ref="J18:J27"/>
    <mergeCell ref="K18:K19"/>
    <mergeCell ref="L18:L27"/>
    <mergeCell ref="M18:M27"/>
    <mergeCell ref="N18:N27"/>
    <mergeCell ref="K20:K27"/>
    <mergeCell ref="O5:O17"/>
    <mergeCell ref="P5:P17"/>
    <mergeCell ref="I3:I4"/>
    <mergeCell ref="J3:J4"/>
    <mergeCell ref="J5:J17"/>
    <mergeCell ref="K5:K7"/>
    <mergeCell ref="L5:L17"/>
    <mergeCell ref="M5:M17"/>
    <mergeCell ref="N5:N17"/>
    <mergeCell ref="K8:K17"/>
    <mergeCell ref="P2:P4"/>
    <mergeCell ref="P290:P296"/>
    <mergeCell ref="Q290:Q296"/>
    <mergeCell ref="R290:R296"/>
    <mergeCell ref="J283:J289"/>
    <mergeCell ref="J290:J296"/>
    <mergeCell ref="K290:K291"/>
    <mergeCell ref="L290:L296"/>
    <mergeCell ref="M290:M296"/>
    <mergeCell ref="N290:N296"/>
    <mergeCell ref="O290:O296"/>
    <mergeCell ref="K292:K296"/>
    <mergeCell ref="K285:K289"/>
    <mergeCell ref="Q275:Q282"/>
    <mergeCell ref="R275:R282"/>
    <mergeCell ref="L283:L289"/>
    <mergeCell ref="M283:M289"/>
    <mergeCell ref="N283:N289"/>
    <mergeCell ref="O283:O289"/>
    <mergeCell ref="P283:P289"/>
    <mergeCell ref="Q283:Q289"/>
    <mergeCell ref="R283:R289"/>
    <mergeCell ref="K256:K262"/>
    <mergeCell ref="K263:K264"/>
    <mergeCell ref="L263:L269"/>
    <mergeCell ref="M263:M269"/>
    <mergeCell ref="N263:N269"/>
    <mergeCell ref="O263:O269"/>
    <mergeCell ref="P263:P269"/>
    <mergeCell ref="Q270:Q274"/>
    <mergeCell ref="R270:R274"/>
    <mergeCell ref="L248:L253"/>
    <mergeCell ref="L254:L262"/>
    <mergeCell ref="M254:M262"/>
    <mergeCell ref="N254:N262"/>
    <mergeCell ref="O254:O262"/>
    <mergeCell ref="P254:P262"/>
    <mergeCell ref="Q254:Q262"/>
    <mergeCell ref="R254:R262"/>
    <mergeCell ref="Q263:Q269"/>
    <mergeCell ref="R263:R269"/>
    <mergeCell ref="K265:K269"/>
    <mergeCell ref="K270:K271"/>
    <mergeCell ref="L270:L274"/>
    <mergeCell ref="M270:M274"/>
    <mergeCell ref="N270:N274"/>
    <mergeCell ref="O270:O274"/>
    <mergeCell ref="P270:P274"/>
    <mergeCell ref="K272:K274"/>
    <mergeCell ref="K275:K276"/>
    <mergeCell ref="L275:L282"/>
    <mergeCell ref="M275:M282"/>
    <mergeCell ref="N275:N282"/>
    <mergeCell ref="O275:O282"/>
    <mergeCell ref="P275:P282"/>
    <mergeCell ref="K277:K282"/>
    <mergeCell ref="Q229:Q234"/>
    <mergeCell ref="R229:R234"/>
    <mergeCell ref="Q235:Q247"/>
    <mergeCell ref="R235:R247"/>
    <mergeCell ref="M248:M253"/>
    <mergeCell ref="N248:N253"/>
    <mergeCell ref="O248:O253"/>
    <mergeCell ref="P248:P253"/>
    <mergeCell ref="Q248:Q253"/>
    <mergeCell ref="R248:R253"/>
    <mergeCell ref="Q219:Q223"/>
    <mergeCell ref="R219:R223"/>
    <mergeCell ref="J213:J218"/>
    <mergeCell ref="K215:K218"/>
    <mergeCell ref="K219:K220"/>
    <mergeCell ref="M219:M223"/>
    <mergeCell ref="N219:N223"/>
    <mergeCell ref="K221:K223"/>
    <mergeCell ref="K224:K225"/>
    <mergeCell ref="L219:L223"/>
    <mergeCell ref="M224:M228"/>
    <mergeCell ref="N224:N228"/>
    <mergeCell ref="O224:O228"/>
    <mergeCell ref="P224:P228"/>
    <mergeCell ref="Q224:Q228"/>
    <mergeCell ref="R224:R228"/>
    <mergeCell ref="K213:K214"/>
    <mergeCell ref="L213:L218"/>
    <mergeCell ref="M213:M218"/>
    <mergeCell ref="O213:O218"/>
    <mergeCell ref="P213:P218"/>
    <mergeCell ref="Q213:Q218"/>
    <mergeCell ref="R213:R218"/>
    <mergeCell ref="J219:J223"/>
    <mergeCell ref="P235:P247"/>
    <mergeCell ref="K237:K247"/>
    <mergeCell ref="J199:J206"/>
    <mergeCell ref="J208:J212"/>
    <mergeCell ref="K208:K209"/>
    <mergeCell ref="L208:L212"/>
    <mergeCell ref="M208:M212"/>
    <mergeCell ref="N208:N212"/>
    <mergeCell ref="N213:N218"/>
    <mergeCell ref="O219:O223"/>
    <mergeCell ref="P219:P223"/>
    <mergeCell ref="P229:P234"/>
    <mergeCell ref="O199:O206"/>
    <mergeCell ref="P199:P206"/>
    <mergeCell ref="J224:J228"/>
    <mergeCell ref="J229:J234"/>
    <mergeCell ref="J235:J247"/>
    <mergeCell ref="L224:L228"/>
    <mergeCell ref="K226:K228"/>
    <mergeCell ref="K229:K230"/>
    <mergeCell ref="L229:L234"/>
    <mergeCell ref="M229:M234"/>
    <mergeCell ref="N229:N234"/>
    <mergeCell ref="O229:O234"/>
    <mergeCell ref="K231:K234"/>
    <mergeCell ref="K235:K236"/>
    <mergeCell ref="L235:L247"/>
    <mergeCell ref="M235:M247"/>
    <mergeCell ref="N235:N247"/>
    <mergeCell ref="O235:O247"/>
    <mergeCell ref="A235:A296"/>
    <mergeCell ref="B235:B247"/>
    <mergeCell ref="B248:B253"/>
    <mergeCell ref="B254:B262"/>
    <mergeCell ref="B263:B269"/>
    <mergeCell ref="A5:A61"/>
    <mergeCell ref="B101:B105"/>
    <mergeCell ref="B116:B121"/>
    <mergeCell ref="B122:B127"/>
    <mergeCell ref="B275:B282"/>
    <mergeCell ref="B283:B289"/>
    <mergeCell ref="B290:B296"/>
    <mergeCell ref="B229:B234"/>
    <mergeCell ref="B270:B274"/>
    <mergeCell ref="B51:B61"/>
    <mergeCell ref="A62:A127"/>
    <mergeCell ref="B62:B84"/>
    <mergeCell ref="B106:B115"/>
    <mergeCell ref="A208:A234"/>
    <mergeCell ref="B208:B212"/>
    <mergeCell ref="B213:B218"/>
    <mergeCell ref="B224:B228"/>
    <mergeCell ref="B219:B223"/>
    <mergeCell ref="B128:B141"/>
    <mergeCell ref="B175:B182"/>
    <mergeCell ref="J175:J182"/>
    <mergeCell ref="K175:K176"/>
    <mergeCell ref="L175:L182"/>
    <mergeCell ref="M175:M182"/>
    <mergeCell ref="N175:N182"/>
    <mergeCell ref="K177:K182"/>
    <mergeCell ref="B183:B188"/>
    <mergeCell ref="J183:J188"/>
    <mergeCell ref="K183:K185"/>
    <mergeCell ref="L183:L188"/>
    <mergeCell ref="M183:M188"/>
    <mergeCell ref="N183:N188"/>
    <mergeCell ref="K186:K188"/>
    <mergeCell ref="B142:B148"/>
    <mergeCell ref="B149:B161"/>
    <mergeCell ref="P162:P174"/>
    <mergeCell ref="R162:R174"/>
    <mergeCell ref="B162:B174"/>
    <mergeCell ref="J162:J174"/>
    <mergeCell ref="K162:K163"/>
    <mergeCell ref="L162:L174"/>
    <mergeCell ref="M162:M174"/>
    <mergeCell ref="N162:N174"/>
    <mergeCell ref="K164:K174"/>
    <mergeCell ref="Q149:Q161"/>
    <mergeCell ref="R149:R161"/>
    <mergeCell ref="O189:O198"/>
    <mergeCell ref="P189:P198"/>
    <mergeCell ref="K189:K190"/>
    <mergeCell ref="K191:K198"/>
    <mergeCell ref="P183:P188"/>
    <mergeCell ref="R183:R188"/>
    <mergeCell ref="J189:J198"/>
    <mergeCell ref="L189:L198"/>
    <mergeCell ref="M189:M198"/>
    <mergeCell ref="N189:N198"/>
    <mergeCell ref="R189:R198"/>
    <mergeCell ref="P175:P182"/>
    <mergeCell ref="Q175:Q182"/>
    <mergeCell ref="R175:R182"/>
    <mergeCell ref="J101:J105"/>
    <mergeCell ref="K101:K102"/>
    <mergeCell ref="K103:K105"/>
    <mergeCell ref="K106:K107"/>
    <mergeCell ref="K108:K115"/>
    <mergeCell ref="O128:O141"/>
    <mergeCell ref="P128:P141"/>
    <mergeCell ref="Q128:Q141"/>
    <mergeCell ref="R128:R141"/>
    <mergeCell ref="Q116:Q121"/>
    <mergeCell ref="R116:R121"/>
    <mergeCell ref="L106:L115"/>
    <mergeCell ref="M106:M115"/>
    <mergeCell ref="N106:N115"/>
    <mergeCell ref="P106:P115"/>
    <mergeCell ref="Q106:Q115"/>
    <mergeCell ref="R106:R115"/>
    <mergeCell ref="N116:N120"/>
    <mergeCell ref="O142:O148"/>
    <mergeCell ref="P142:P147"/>
    <mergeCell ref="J106:J115"/>
    <mergeCell ref="J116:J121"/>
    <mergeCell ref="J122:J127"/>
    <mergeCell ref="J128:J141"/>
    <mergeCell ref="J142:J148"/>
    <mergeCell ref="J149:J161"/>
    <mergeCell ref="O106:O115"/>
    <mergeCell ref="O116:O121"/>
    <mergeCell ref="N122:N126"/>
    <mergeCell ref="P116:P121"/>
    <mergeCell ref="K149:K150"/>
    <mergeCell ref="K151:K161"/>
    <mergeCell ref="K144:K148"/>
    <mergeCell ref="L149:L161"/>
    <mergeCell ref="M149:M161"/>
    <mergeCell ref="N149:N161"/>
    <mergeCell ref="P149:P161"/>
    <mergeCell ref="K116:K117"/>
    <mergeCell ref="K122:K123"/>
    <mergeCell ref="K124:K127"/>
    <mergeCell ref="K128:K129"/>
    <mergeCell ref="L128:L141"/>
    <mergeCell ref="M128:M141"/>
    <mergeCell ref="N128:N141"/>
    <mergeCell ref="K130:K141"/>
    <mergeCell ref="K142:K143"/>
    <mergeCell ref="L142:L148"/>
    <mergeCell ref="M142:M148"/>
    <mergeCell ref="N142:N148"/>
    <mergeCell ref="Q101:Q105"/>
    <mergeCell ref="R101:R105"/>
    <mergeCell ref="L94:L100"/>
    <mergeCell ref="M94:M100"/>
    <mergeCell ref="L101:L105"/>
    <mergeCell ref="M101:M105"/>
    <mergeCell ref="N101:N105"/>
    <mergeCell ref="O101:O105"/>
    <mergeCell ref="P101:P105"/>
    <mergeCell ref="P89:P93"/>
    <mergeCell ref="Q89:Q93"/>
    <mergeCell ref="R89:R93"/>
    <mergeCell ref="N94:N100"/>
    <mergeCell ref="O94:O100"/>
    <mergeCell ref="P94:P100"/>
    <mergeCell ref="Q94:Q100"/>
    <mergeCell ref="R94:R100"/>
    <mergeCell ref="J85:J88"/>
    <mergeCell ref="J89:J93"/>
    <mergeCell ref="L89:L93"/>
    <mergeCell ref="M89:M93"/>
    <mergeCell ref="N89:N93"/>
    <mergeCell ref="O89:O93"/>
    <mergeCell ref="J94:J100"/>
    <mergeCell ref="K96:K100"/>
    <mergeCell ref="K89:K90"/>
    <mergeCell ref="K94:K95"/>
    <mergeCell ref="P85:P88"/>
    <mergeCell ref="Q85:Q88"/>
    <mergeCell ref="R85:R88"/>
    <mergeCell ref="L62:L74"/>
    <mergeCell ref="K64:K74"/>
    <mergeCell ref="K75:K78"/>
    <mergeCell ref="L75:L84"/>
    <mergeCell ref="M75:M84"/>
    <mergeCell ref="N75:N84"/>
    <mergeCell ref="O75:O84"/>
    <mergeCell ref="K79:K84"/>
    <mergeCell ref="K85:K86"/>
    <mergeCell ref="L85:L88"/>
    <mergeCell ref="M85:M88"/>
    <mergeCell ref="N85:N88"/>
    <mergeCell ref="O85:O88"/>
    <mergeCell ref="K87:K88"/>
    <mergeCell ref="K62:K63"/>
    <mergeCell ref="J51:J61"/>
    <mergeCell ref="J62:J74"/>
    <mergeCell ref="M62:M74"/>
    <mergeCell ref="N62:N74"/>
    <mergeCell ref="P62:P74"/>
    <mergeCell ref="Q62:Q74"/>
    <mergeCell ref="R62:R74"/>
    <mergeCell ref="P75:P84"/>
    <mergeCell ref="Q75:Q84"/>
    <mergeCell ref="R75:R84"/>
    <mergeCell ref="Q51:Q61"/>
    <mergeCell ref="R51:R61"/>
    <mergeCell ref="K51:K52"/>
    <mergeCell ref="L51:L61"/>
    <mergeCell ref="M51:M61"/>
    <mergeCell ref="N51:N61"/>
    <mergeCell ref="O51:O61"/>
    <mergeCell ref="P51:P61"/>
    <mergeCell ref="K53:K61"/>
    <mergeCell ref="P37:P41"/>
    <mergeCell ref="Q37:Q41"/>
    <mergeCell ref="R37:R41"/>
    <mergeCell ref="J28:J36"/>
    <mergeCell ref="K37:K38"/>
    <mergeCell ref="L37:L41"/>
    <mergeCell ref="M37:M41"/>
    <mergeCell ref="N37:N41"/>
    <mergeCell ref="O37:O41"/>
    <mergeCell ref="K39:K41"/>
    <mergeCell ref="O28:O36"/>
    <mergeCell ref="P28:P36"/>
    <mergeCell ref="Q28:Q36"/>
    <mergeCell ref="R28:R36"/>
  </mergeCells>
  <dataValidations count="4">
    <dataValidation type="list" allowBlank="1" showErrorMessage="1" sqref="K5 K18 K28 K37 K42 K51 K62 K75 K85 K89 K94 K101 K106 K116 K122 K128 K142 K149 K162 K175 K183 K189 K199 K208 K213 K219 K224 K229 K235 K248 K254 K263 K270 K275 K283 K290" xr:uid="{00000000-0002-0000-0100-000000000000}">
      <formula1>"كافي,عجز"</formula1>
    </dataValidation>
    <dataValidation type="list" allowBlank="1" showErrorMessage="1" sqref="N5 N18 N37 N42 N51 N62 N75 N85 N89 N94 N101 N116 N128 N142 N149 N162 N183 N189 N208 N213 N219 N224 N229 N235 N248 N254 N263 N270 N275 N283 N290" xr:uid="{00000000-0002-0000-0100-000001000000}">
      <formula1>"كافية,عجز"</formula1>
    </dataValidation>
    <dataValidation type="list" allowBlank="1" showErrorMessage="1" sqref="J5 M5 J18 M18 J37 M37 J42 M42 J51 M51 J62 M62 M75 J85 M85 J89 M89 J94 M94 J101 M101 J106 M106 J116 J128 M128 J142 M142 J149 M149 J162 M162 J175 M175 J183 M183 J189 M189 J208 M208 J213 M213 J219 M219 J224 M224 J229 M229 J235 M235 J248 M248 J254 M254 J263 M263 J270 M270 J275 M275 J283 M283 J290 M290" xr:uid="{00000000-0002-0000-0100-000002000000}">
      <formula1>"لا يوجد,يوجد"</formula1>
    </dataValidation>
    <dataValidation type="list" allowBlank="1" showErrorMessage="1" sqref="L5 L18 L37 L42 L51 L62 L75 L85 L89 L94 L101 L106 L128 L142 L149 L162 L175 L183 L189 L208 L213 L219 L224 L229 L235 L248 L254 L263 L270 L275 L283 L290" xr:uid="{00000000-0002-0000-0100-000003000000}">
      <formula1>"تم,لم يتم"</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مشرفي بنوك الدم </vt:lpstr>
      <vt:lpstr>الجاهزية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2026-07-03T06:08:56Z</dcterms:modified>
</cp:coreProperties>
</file>